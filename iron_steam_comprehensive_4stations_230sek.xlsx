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urse - Assembly\PROJECT\"/>
    </mc:Choice>
  </mc:AlternateContent>
  <xr:revisionPtr revIDLastSave="0" documentId="13_ncr:1_{6D2613F7-EBD2-423F-A8DC-BE5BF1803981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6.1 Assumptions" sheetId="1" r:id="rId1"/>
    <sheet name="6.2 Line Balancing" sheetId="2" r:id="rId2"/>
    <sheet name="6.3 Cost Manual Assembly" sheetId="3" r:id="rId3"/>
    <sheet name="6.4 Cost Automation" sheetId="4" r:id="rId4"/>
    <sheet name="6.5 Comparis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9" i="1"/>
  <c r="B23" i="4"/>
  <c r="B26" i="4"/>
  <c r="B25" i="4"/>
  <c r="B29" i="5"/>
  <c r="C22" i="3"/>
  <c r="H20" i="5"/>
  <c r="G20" i="5"/>
  <c r="H12" i="5"/>
  <c r="G12" i="5"/>
  <c r="G11" i="5"/>
  <c r="G75" i="3"/>
  <c r="G9" i="5"/>
  <c r="G10" i="5"/>
  <c r="B30" i="5"/>
  <c r="H10" i="5"/>
  <c r="B32" i="1"/>
  <c r="B31" i="1"/>
  <c r="F16" i="1"/>
  <c r="F13" i="1"/>
  <c r="F14" i="1" s="1"/>
  <c r="F17" i="1" s="1"/>
  <c r="D42" i="5"/>
  <c r="D41" i="5"/>
  <c r="D40" i="5"/>
  <c r="E40" i="5" s="1"/>
  <c r="D39" i="5"/>
  <c r="D38" i="5"/>
  <c r="E38" i="5" s="1"/>
  <c r="B40" i="5"/>
  <c r="B41" i="5"/>
  <c r="B42" i="5"/>
  <c r="C42" i="5"/>
  <c r="B39" i="5"/>
  <c r="B38" i="5"/>
  <c r="C38" i="5" s="1"/>
  <c r="B32" i="5"/>
  <c r="C29" i="5"/>
  <c r="C27" i="5"/>
  <c r="B27" i="5"/>
  <c r="C39" i="5"/>
  <c r="E39" i="5"/>
  <c r="C40" i="5"/>
  <c r="C41" i="5"/>
  <c r="E41" i="5"/>
  <c r="E42" i="5"/>
  <c r="C30" i="5"/>
  <c r="C32" i="5"/>
  <c r="C33" i="5" s="1"/>
  <c r="B33" i="5"/>
  <c r="C6" i="5"/>
  <c r="B6" i="5"/>
  <c r="H9" i="5"/>
  <c r="C8" i="4"/>
  <c r="C7" i="4"/>
  <c r="C11" i="4"/>
  <c r="C10" i="4"/>
  <c r="C9" i="4"/>
  <c r="C6" i="4"/>
  <c r="B22" i="4"/>
  <c r="C17" i="3"/>
  <c r="C23" i="3"/>
  <c r="C24" i="3" s="1"/>
  <c r="G64" i="3" s="1"/>
  <c r="G62" i="3"/>
  <c r="G63" i="3" s="1"/>
  <c r="G56" i="3"/>
  <c r="G53" i="3"/>
  <c r="G54" i="3" s="1"/>
  <c r="B41" i="1"/>
  <c r="B42" i="1" s="1"/>
  <c r="B43" i="1" s="1"/>
  <c r="I4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13" i="3"/>
  <c r="B14" i="2"/>
  <c r="E8" i="2"/>
  <c r="E7" i="2"/>
  <c r="E6" i="2"/>
  <c r="E5" i="2"/>
  <c r="B12" i="1"/>
  <c r="C9" i="2"/>
  <c r="D9" i="2" s="1"/>
  <c r="B16" i="1" l="1"/>
  <c r="B17" i="1" s="1"/>
  <c r="H11" i="5"/>
  <c r="C12" i="5" s="1"/>
  <c r="C11" i="5"/>
  <c r="B11" i="5"/>
  <c r="B12" i="5"/>
  <c r="C17" i="4"/>
  <c r="B21" i="4" s="1"/>
  <c r="J43" i="3"/>
  <c r="B33" i="1"/>
  <c r="B34" i="1" s="1"/>
  <c r="B20" i="1" l="1"/>
  <c r="B25" i="1"/>
  <c r="B27" i="1" s="1"/>
  <c r="B32" i="4"/>
  <c r="B33" i="4" s="1"/>
  <c r="B28" i="4"/>
  <c r="J44" i="3"/>
  <c r="B34" i="4" l="1"/>
  <c r="L44" i="3"/>
  <c r="J45" i="3"/>
  <c r="G65" i="3" s="1"/>
  <c r="L45" i="3" l="1"/>
  <c r="G70" i="3"/>
  <c r="G76" i="3" s="1"/>
  <c r="G77" i="3" s="1"/>
  <c r="G71" i="3" l="1"/>
  <c r="G72" i="3" s="1"/>
  <c r="G79" i="3"/>
  <c r="G78" i="3" l="1"/>
</calcChain>
</file>

<file path=xl/sharedStrings.xml><?xml version="1.0" encoding="utf-8"?>
<sst xmlns="http://schemas.openxmlformats.org/spreadsheetml/2006/main" count="403" uniqueCount="319">
  <si>
    <t>SECTION 6.1: BASIC ASSUMPTIONS</t>
  </si>
  <si>
    <t>Iron Steam Manual Assembly Analysis (SEK Currency)</t>
  </si>
  <si>
    <t>6.1.1 ANNUAL DEMAND ESTIMATION</t>
  </si>
  <si>
    <t>Annual Demand (units)</t>
  </si>
  <si>
    <t>Target market forecast</t>
  </si>
  <si>
    <t>Working Days per Year</t>
  </si>
  <si>
    <t>Daily Production Required</t>
  </si>
  <si>
    <t>Units per day to meet demand</t>
  </si>
  <si>
    <t>Shifts per Day</t>
  </si>
  <si>
    <t>8 hours each shift</t>
  </si>
  <si>
    <t>Hours Available per Shift</t>
  </si>
  <si>
    <t>Standard work shift</t>
  </si>
  <si>
    <t>Total Available Minutes per Day</t>
  </si>
  <si>
    <t>(Hours × Shifts × 60 minutes)</t>
  </si>
  <si>
    <t>6.1.2 TAKT TIME CALCULATION</t>
  </si>
  <si>
    <t>Takt Time (Minutes)</t>
  </si>
  <si>
    <t>Minutes per unit (Available time ÷ Daily output)</t>
  </si>
  <si>
    <t>Takt Time (Seconds)</t>
  </si>
  <si>
    <t>Required pace per unit</t>
  </si>
  <si>
    <t>Actual Bottleneck Cycle Time (Seconds)</t>
  </si>
  <si>
    <t>Station 4 (longest operation)</t>
  </si>
  <si>
    <t>Actual Cycle Time (Minutes)</t>
  </si>
  <si>
    <t>Per unit actual time</t>
  </si>
  <si>
    <t>Takt Compliance %</t>
  </si>
  <si>
    <t>Takt time ÷ Actual cycle time</t>
  </si>
  <si>
    <t>6.1.3 THEORETICAL MINIMUM NUMBER OF WORKSTATIONS</t>
  </si>
  <si>
    <t>Total Assembly Time (all 30 operations)</t>
  </si>
  <si>
    <t>Seconds (A through AD operations)</t>
  </si>
  <si>
    <t>Theoretical Minimum Stations</t>
  </si>
  <si>
    <t>Total time ÷ Takt time (rounded up)</t>
  </si>
  <si>
    <t>Actual Stations Implemented</t>
  </si>
  <si>
    <t>Using Largest Candidate Rule optimization</t>
  </si>
  <si>
    <t>Efficiency vs Theoretical</t>
  </si>
  <si>
    <t>6.1.4 OVERALL EFFICIENCY</t>
  </si>
  <si>
    <t>Line Balance Efficiency</t>
  </si>
  <si>
    <t>Takt ÷ Bottleneck (target &gt;75%)</t>
  </si>
  <si>
    <t>Value-Add Ratio</t>
  </si>
  <si>
    <t>Total assembly ÷ Cycle time</t>
  </si>
  <si>
    <t>Capacity Utilization</t>
  </si>
  <si>
    <t>Current demand ÷ Maximum capacity</t>
  </si>
  <si>
    <t>Capacity Headroom for Growth</t>
  </si>
  <si>
    <t>Unused capacity (for demand growth)</t>
  </si>
  <si>
    <t>STAFFING MODEL</t>
  </si>
  <si>
    <t>Total Operators</t>
  </si>
  <si>
    <t>Fixed team size</t>
  </si>
  <si>
    <t>Assembly Operators per Shift</t>
  </si>
  <si>
    <t>Operators at stations</t>
  </si>
  <si>
    <t>Shared Supervisor/QC</t>
  </si>
  <si>
    <t>All shifts (overlap or rotation)</t>
  </si>
  <si>
    <t>Hourly Wage (with 25% benefits)</t>
  </si>
  <si>
    <t>SEK (= $8.13 USD @ 10:1 rate)</t>
  </si>
  <si>
    <t>SEK per day</t>
  </si>
  <si>
    <t>Annual Labor Cost (250 days)</t>
  </si>
  <si>
    <t>SEK per year</t>
  </si>
  <si>
    <t>Labor Cost per Unit</t>
  </si>
  <si>
    <t>SEK (Annual labor ÷ Units)</t>
  </si>
  <si>
    <t>SECTION 6.2: LINE BALANCING WITH LARGEST CANDIDATE RULE</t>
  </si>
  <si>
    <t>4 Workstations - Optimized Task Assignment</t>
  </si>
  <si>
    <t>Workstation</t>
  </si>
  <si>
    <t>Operations</t>
  </si>
  <si>
    <t>Time (seconds)</t>
  </si>
  <si>
    <t>Time (minutes)</t>
  </si>
  <si>
    <t>Efficiency vs Takt</t>
  </si>
  <si>
    <t>Station 1</t>
  </si>
  <si>
    <t>A, B, C, D, E, F, G, H</t>
  </si>
  <si>
    <t>Station 2</t>
  </si>
  <si>
    <t>I, J, K, L, M, N, O, P, Q</t>
  </si>
  <si>
    <t>Station 3</t>
  </si>
  <si>
    <t>R, S, T, U, V, W, X, Y</t>
  </si>
  <si>
    <t>Station 4</t>
  </si>
  <si>
    <t>Z, AA, AB, AC, AD</t>
  </si>
  <si>
    <t>TOTAL</t>
  </si>
  <si>
    <t>LINE BALANCE METRICS</t>
  </si>
  <si>
    <t>Takt Time (seconds)</t>
  </si>
  <si>
    <t>Bottleneck Station</t>
  </si>
  <si>
    <t>Assessment</t>
  </si>
  <si>
    <t>SECTION 6.3: FINANCIAL ANALYSIS - MANUAL ASSEMBLY</t>
  </si>
  <si>
    <t>4 Stations, 5 Operators, 230 SEK Selling Price</t>
  </si>
  <si>
    <t>Cost (SEK)</t>
  </si>
  <si>
    <t>Notes</t>
  </si>
  <si>
    <t>Subtotal (Raw Materials)</t>
  </si>
  <si>
    <t>Scrap &amp; Waste Allowance (2%)</t>
  </si>
  <si>
    <t>TOTAL MATERIAL COST</t>
  </si>
  <si>
    <t>LABOR COST</t>
  </si>
  <si>
    <t>From assumptions</t>
  </si>
  <si>
    <t>Hours per Day (8h × 2 shifts)</t>
  </si>
  <si>
    <t>Total shift hours</t>
  </si>
  <si>
    <t>Hourly Rate (with 25% benefits)</t>
  </si>
  <si>
    <t>SEK per hour</t>
  </si>
  <si>
    <t>Daily Labor Cost</t>
  </si>
  <si>
    <t>Cycle Time per Unit</t>
  </si>
  <si>
    <t>Minutes (bottleneck station)</t>
  </si>
  <si>
    <t>MANUFACTURING OVERHEAD</t>
  </si>
  <si>
    <t>Daily Fixed Overhead</t>
  </si>
  <si>
    <t>Annual Fixed Overhead</t>
  </si>
  <si>
    <t>Overhead per Unit (150k units)</t>
  </si>
  <si>
    <t>TOTAL COST PER UNIT</t>
  </si>
  <si>
    <t>FINANCIAL SUMMARY @ 230 SEK</t>
  </si>
  <si>
    <t>Selling Price per Unit</t>
  </si>
  <si>
    <t>Total Cost per Unit</t>
  </si>
  <si>
    <t>PROFIT PER UNIT</t>
  </si>
  <si>
    <t>Profit Margin %</t>
  </si>
  <si>
    <t>ANNUAL SUMMARY (150,000 units)</t>
  </si>
  <si>
    <t>Annual Revenue</t>
  </si>
  <si>
    <t>Total Annual Cost</t>
  </si>
  <si>
    <t>ANNUAL PROFIT</t>
  </si>
  <si>
    <t>Monthly Average Profit</t>
  </si>
  <si>
    <t>Daily Average Profit</t>
  </si>
  <si>
    <t>SECTION 6.4: FINANCIAL ANALYSIS - AUTOMATED ASSEMBLY</t>
  </si>
  <si>
    <t>Fully Automated Robotic Line - For Comparison</t>
  </si>
  <si>
    <t>AUTOMATION INVESTMENT</t>
  </si>
  <si>
    <t>OPERATIONAL COSTS</t>
  </si>
  <si>
    <t>Annual Maintenance &amp; Repairs</t>
  </si>
  <si>
    <t>Annual Labor (2 operators only)</t>
  </si>
  <si>
    <t>Much lower staffing</t>
  </si>
  <si>
    <t>TOTAL ANNUAL COST</t>
  </si>
  <si>
    <t>COST PER UNIT</t>
  </si>
  <si>
    <t>Cost per Unit</t>
  </si>
  <si>
    <t>Annual Profit</t>
  </si>
  <si>
    <t>SECTION 6.5: MANUAL vs AUTOMATED ASSEMBLY COMPARISON</t>
  </si>
  <si>
    <t>Metric</t>
  </si>
  <si>
    <t>Manual Assembly</t>
  </si>
  <si>
    <t>Automated Assembly</t>
  </si>
  <si>
    <t>FINANCIAL METRICS</t>
  </si>
  <si>
    <t>Cost per Unit (SEK)</t>
  </si>
  <si>
    <t>Profit per Unit (SEK)</t>
  </si>
  <si>
    <t>Annual Profit (150k units)</t>
  </si>
  <si>
    <t>CAPITAL METRICS</t>
  </si>
  <si>
    <t>Initial Investment (SEK)</t>
  </si>
  <si>
    <t>OPERATIONAL METRICS</t>
  </si>
  <si>
    <t>Staffing Required</t>
  </si>
  <si>
    <t>Flexibility</t>
  </si>
  <si>
    <t>High</t>
  </si>
  <si>
    <t>Low</t>
  </si>
  <si>
    <t>Downtime Risk</t>
  </si>
  <si>
    <t>Scalability</t>
  </si>
  <si>
    <t>Easy (add workers)</t>
  </si>
  <si>
    <t>Difficult</t>
  </si>
  <si>
    <t>Maintenance</t>
  </si>
  <si>
    <t>Simple</t>
  </si>
  <si>
    <t>Complex</t>
  </si>
  <si>
    <t>50 weeks × 6 days</t>
  </si>
  <si>
    <t>94,7% efficiency is EXCELLENT for manual assembly</t>
  </si>
  <si>
    <t>Component</t>
  </si>
  <si>
    <t>Decision</t>
  </si>
  <si>
    <t>Buy</t>
  </si>
  <si>
    <t>Make</t>
  </si>
  <si>
    <t>Handle</t>
  </si>
  <si>
    <t>Qty</t>
  </si>
  <si>
    <t>Unit Cost (SEK)</t>
  </si>
  <si>
    <t>Total (SEK)</t>
  </si>
  <si>
    <t>Reason</t>
  </si>
  <si>
    <t>Soleplate + Heating element</t>
  </si>
  <si>
    <t>Safety + heating + certification complexity</t>
  </si>
  <si>
    <t>Soleplate cover</t>
  </si>
  <si>
    <t>Plastic injection, cosmetic part</t>
  </si>
  <si>
    <t>Body / water tank</t>
  </si>
  <si>
    <t>Structural plastic housing</t>
  </si>
  <si>
    <t>Steam control valve</t>
  </si>
  <si>
    <t>Precision fluid control</t>
  </si>
  <si>
    <t>Water trigger valve</t>
  </si>
  <si>
    <t>Standard OEM component</t>
  </si>
  <si>
    <t>Water knob</t>
  </si>
  <si>
    <t>UI + branding</t>
  </si>
  <si>
    <t>Water tube</t>
  </si>
  <si>
    <t>Silicone standard</t>
  </si>
  <si>
    <t>Steam trigger</t>
  </si>
  <si>
    <t>Standard mechanical</t>
  </si>
  <si>
    <t>Steam tube</t>
  </si>
  <si>
    <t>Heat resistant tubing</t>
  </si>
  <si>
    <t>Spray nozzle</t>
  </si>
  <si>
    <t>Precision molded</t>
  </si>
  <si>
    <t>Ergonomics + design control</t>
  </si>
  <si>
    <t>Temperature control dial</t>
  </si>
  <si>
    <t>Standard thermostat part</t>
  </si>
  <si>
    <t>LED pilot indicator</t>
  </si>
  <si>
    <t>Commodity electronics</t>
  </si>
  <si>
    <t>Power cord</t>
  </si>
  <si>
    <t>Safety certified</t>
  </si>
  <si>
    <t>360° swivel contact</t>
  </si>
  <si>
    <t>Electrical rotating joint</t>
  </si>
  <si>
    <t>Soleplate big screw</t>
  </si>
  <si>
    <t>Commodity fastener</t>
  </si>
  <si>
    <t>Soleplate small screw</t>
  </si>
  <si>
    <t>Bulk fastener</t>
  </si>
  <si>
    <t>Body screw</t>
  </si>
  <si>
    <t>Soleplate perimeter seal</t>
  </si>
  <si>
    <t>Heat-resistant sealing</t>
  </si>
  <si>
    <t>Water tank O-ring</t>
  </si>
  <si>
    <t>Standard rubber seal</t>
  </si>
  <si>
    <t>Fill cap O-ring</t>
  </si>
  <si>
    <t>Standard seal</t>
  </si>
  <si>
    <t>Tightening washer</t>
  </si>
  <si>
    <t>Commodity hardware</t>
  </si>
  <si>
    <t>Water cap</t>
  </si>
  <si>
    <t>Design + injection mold</t>
  </si>
  <si>
    <t>Steam cap</t>
  </si>
  <si>
    <t>Cosmetic + functional</t>
  </si>
  <si>
    <t>Thermostat connector</t>
  </si>
  <si>
    <t>Electrical compliance</t>
  </si>
  <si>
    <t>LED protector</t>
  </si>
  <si>
    <t>Simple PC molding</t>
  </si>
  <si>
    <t>Cable keeper</t>
  </si>
  <si>
    <t>Structural plastic clip</t>
  </si>
  <si>
    <t>Cable keeper screw</t>
  </si>
  <si>
    <t>Fastener</t>
  </si>
  <si>
    <t>Handle-body fix screw</t>
  </si>
  <si>
    <t>Handle screw</t>
  </si>
  <si>
    <t xml:space="preserve">Daily Labor Cost </t>
  </si>
  <si>
    <t>per year =</t>
  </si>
  <si>
    <t>https://www.roboticscenter.ai/learn/robot-arm-pricing-2026</t>
  </si>
  <si>
    <t>Hand tools &amp; torque tools</t>
  </si>
  <si>
    <t>Manual conveyor system</t>
  </si>
  <si>
    <t>Testing station</t>
  </si>
  <si>
    <t>Material handling</t>
  </si>
  <si>
    <t>Lighting &amp; ergonomics</t>
  </si>
  <si>
    <t>QA tools</t>
  </si>
  <si>
    <t>CAPEX Component</t>
  </si>
  <si>
    <t>Description</t>
  </si>
  <si>
    <t>Ergonomic work tables + basic fixtures</t>
  </si>
  <si>
    <t>Electric screwdrivers, torque-controlled tools</t>
  </si>
  <si>
    <t>Simple jigs &amp; fixtures</t>
  </si>
  <si>
    <t>Alignment fixtures for soleplate, housing, handle</t>
  </si>
  <si>
    <t>Basic belt/roller conveyor line</t>
  </si>
  <si>
    <t>Manual/semi electrical safety + leak testing</t>
  </si>
  <si>
    <t>Bins, racks, trolleys</t>
  </si>
  <si>
    <t>Basic industrial lighting and setup</t>
  </si>
  <si>
    <t>Calipers, gauges, go/no-go tools</t>
  </si>
  <si>
    <t>Workstation assembly (4 stations)</t>
  </si>
  <si>
    <t>per year</t>
  </si>
  <si>
    <t>5 years</t>
  </si>
  <si>
    <t>SEK (supervisor )</t>
  </si>
  <si>
    <t>Capex per unit</t>
  </si>
  <si>
    <t>pick &amp; place, screw driving</t>
  </si>
  <si>
    <t>Screw feeding &amp; automated fastening system</t>
  </si>
  <si>
    <t>auto screw feeder + torque control</t>
  </si>
  <si>
    <t>Vision inspection system</t>
  </si>
  <si>
    <t>alignment + defect detection</t>
  </si>
  <si>
    <t>Smart conveyor system</t>
  </si>
  <si>
    <t>synchronized indexing line</t>
  </si>
  <si>
    <t>Fixture &amp; precision tooling</t>
  </si>
  <si>
    <t>high-precision jig A–AD steps</t>
  </si>
  <si>
    <t>PLC &amp; control system</t>
  </si>
  <si>
    <t>Siemens/Allen-Bradley architecture</t>
  </si>
  <si>
    <t>Electrical &amp; functional test automation</t>
  </si>
  <si>
    <t>leak + insulation + auto pass/fail</t>
  </si>
  <si>
    <t>Integration &amp; commissioning</t>
  </si>
  <si>
    <t>engineering + ramp-up</t>
  </si>
  <si>
    <t>Safety systems</t>
  </si>
  <si>
    <t>guarding, sensors, interlock</t>
  </si>
  <si>
    <t>Robotic assembly cells (4 robots)</t>
  </si>
  <si>
    <t>Annual total material cost</t>
  </si>
  <si>
    <t>Annual Overhead</t>
  </si>
  <si>
    <t>https://indonesian.alibaba.com/g/auto-screw-feeding-machine.html</t>
  </si>
  <si>
    <t>https://indonesian.alibaba.com/g/automatic-screw-feeder-motor.html</t>
  </si>
  <si>
    <t>https://indonesian.alibaba.com/g/precision-fixture-and-clamp.html</t>
  </si>
  <si>
    <t>https://biaomasorter.en.made-in-china.com/product/wRIYGCyHLkWS/China-Smart-Conveyor-Belt-System-with-Integrated-Barcode-and-Epr-Software.html?utm_source=google&amp;utm_medium=shopping&amp;utm_campaign=2254817985</t>
  </si>
  <si>
    <t>SEK (15% of capex per year)</t>
  </si>
  <si>
    <t>Software and License</t>
  </si>
  <si>
    <t>integrae all data for close loop system</t>
  </si>
  <si>
    <t>Robotic Assembly Cells (4 robots)</t>
  </si>
  <si>
    <t>A,C,D,I,J,N,O,T,U,W,X,Y,AC (13 ops)</t>
  </si>
  <si>
    <t>Screw Feeding &amp; Auto Fastening</t>
  </si>
  <si>
    <t>E,F,Q,R,Z,AD (6 ops)</t>
  </si>
  <si>
    <t>Vision Inspection System</t>
  </si>
  <si>
    <t>D,O,T + Final QC</t>
  </si>
  <si>
    <t>Smart Conveyor System</t>
  </si>
  <si>
    <t>All ops (A-AD)</t>
  </si>
  <si>
    <t>Fixture &amp; Precision Tooling</t>
  </si>
  <si>
    <t>All 30 operations</t>
  </si>
  <si>
    <t>PLC &amp; Control System</t>
  </si>
  <si>
    <t>All ops (master control)</t>
  </si>
  <si>
    <t>Electrical &amp; Functional Test</t>
  </si>
  <si>
    <t>Final testing phase</t>
  </si>
  <si>
    <t>Integration &amp; Commissioning</t>
  </si>
  <si>
    <t>System-wide</t>
  </si>
  <si>
    <t>Software &amp; License</t>
  </si>
  <si>
    <t>All ops (close-loop)</t>
  </si>
  <si>
    <t>Safety Systems</t>
  </si>
  <si>
    <t>All ops (regulatory)</t>
  </si>
  <si>
    <t>Total</t>
  </si>
  <si>
    <t>Component CAPEX</t>
  </si>
  <si>
    <t>Content</t>
  </si>
  <si>
    <t>Item</t>
  </si>
  <si>
    <t>Automation</t>
  </si>
  <si>
    <t>CAPEX (SEK)</t>
  </si>
  <si>
    <t>Annual Profit (SEK)</t>
  </si>
  <si>
    <t>Working Days/Year</t>
  </si>
  <si>
    <t/>
  </si>
  <si>
    <t>CALCULATIONS</t>
  </si>
  <si>
    <t>Daily Profit (SEK)</t>
  </si>
  <si>
    <t>Payback (Days)</t>
  </si>
  <si>
    <t>Payback (Months)</t>
  </si>
  <si>
    <t>Payback (Years)</t>
  </si>
  <si>
    <t>191,59 (total item material cost)</t>
  </si>
  <si>
    <t>Payback Period in year</t>
  </si>
  <si>
    <t>Payback Period in months</t>
  </si>
  <si>
    <t>ANNUAL ROI CALCULATION</t>
  </si>
  <si>
    <t>Initial Investment (CAPEX)</t>
  </si>
  <si>
    <t>ROI % per Year</t>
  </si>
  <si>
    <t>ROI Multiple (x)</t>
  </si>
  <si>
    <t>Daily Profit</t>
  </si>
  <si>
    <t>Daily ROI %</t>
  </si>
  <si>
    <t>Year</t>
  </si>
  <si>
    <t>Manual Profit</t>
  </si>
  <si>
    <t>Manual ROI %</t>
  </si>
  <si>
    <t>Auto Profit</t>
  </si>
  <si>
    <t>Auto ROI %</t>
  </si>
  <si>
    <t>Parameter</t>
  </si>
  <si>
    <t>Value</t>
  </si>
  <si>
    <t xml:space="preserve">Minimum ÷ Actual </t>
  </si>
  <si>
    <t>Total in 5 years</t>
  </si>
  <si>
    <t>5 years depreciation (per year)</t>
  </si>
  <si>
    <t>CAPEX per unit</t>
  </si>
  <si>
    <t xml:space="preserve">Metric </t>
  </si>
  <si>
    <t>Payback period (year)</t>
  </si>
  <si>
    <t>Payback period (month)</t>
  </si>
  <si>
    <t>Payback Period (days)</t>
  </si>
  <si>
    <t>Total Operational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</si>
</sst>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%"/>
    <numFmt numFmtId="177" formatCode="#,##0.0"/>
  </numFmts>
  <fonts count="25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b/>
      <sz val="11"/>
      <color rgb="FF008000"/>
      <name val="Calibri"/>
      <family val="2"/>
    </font>
    <font>
      <b/>
      <sz val="11"/>
      <color rgb="FF008000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sz val="11"/>
      <color rgb="FF0000FF"/>
      <name val="Calibri"/>
      <family val="2"/>
    </font>
    <font>
      <b/>
      <sz val="12"/>
      <color rgb="FF1F4E78"/>
      <name val="Calibri"/>
      <family val="2"/>
    </font>
    <font>
      <b/>
      <sz val="12"/>
      <name val="Calibri"/>
      <family val="2"/>
    </font>
    <font>
      <b/>
      <sz val="11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1"/>
      <color indexed="59"/>
      <name val="Calibri"/>
      <family val="2"/>
    </font>
    <font>
      <b/>
      <sz val="1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1F4E78"/>
        <bgColor rgb="FF1F4E78"/>
      </patternFill>
    </fill>
    <fill>
      <patternFill patternType="solid">
        <fgColor rgb="FFFFC000"/>
        <bgColor rgb="FFFFC000"/>
      </patternFill>
    </fill>
    <fill>
      <patternFill patternType="solid">
        <fgColor rgb="FFF4B084"/>
        <bgColor rgb="FFF4B084"/>
      </patternFill>
    </fill>
    <fill>
      <patternFill patternType="solid">
        <fgColor rgb="FFC6E0B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8"/>
        <bgColor rgb="FF4472C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rgb="FF4472C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97">
    <xf numFmtId="0" fontId="0" fillId="0" borderId="0" xfId="0"/>
    <xf numFmtId="0" fontId="1" fillId="0" borderId="0" xfId="0" applyFont="1"/>
    <xf numFmtId="3" fontId="4" fillId="0" borderId="0" xfId="0" applyNumberFormat="1" applyFont="1"/>
    <xf numFmtId="1" fontId="0" fillId="3" borderId="0" xfId="0" applyNumberFormat="1" applyFill="1"/>
    <xf numFmtId="3" fontId="0" fillId="0" borderId="0" xfId="0" applyNumberFormat="1"/>
    <xf numFmtId="165" fontId="6" fillId="4" borderId="0" xfId="0" applyNumberFormat="1" applyFont="1" applyFill="1"/>
    <xf numFmtId="164" fontId="4" fillId="0" borderId="0" xfId="0" applyNumberFormat="1" applyFont="1"/>
    <xf numFmtId="166" fontId="4" fillId="0" borderId="0" xfId="0" applyNumberFormat="1" applyFont="1"/>
    <xf numFmtId="165" fontId="0" fillId="0" borderId="0" xfId="0" applyNumberFormat="1"/>
    <xf numFmtId="2" fontId="4" fillId="0" borderId="0" xfId="0" applyNumberFormat="1" applyFont="1"/>
    <xf numFmtId="1" fontId="5" fillId="0" borderId="0" xfId="0" applyNumberFormat="1" applyFont="1"/>
    <xf numFmtId="166" fontId="7" fillId="0" borderId="0" xfId="0" applyNumberFormat="1" applyFont="1"/>
    <xf numFmtId="166" fontId="0" fillId="0" borderId="0" xfId="0" applyNumberFormat="1"/>
    <xf numFmtId="166" fontId="8" fillId="0" borderId="0" xfId="0" applyNumberFormat="1" applyFont="1"/>
    <xf numFmtId="1" fontId="6" fillId="0" borderId="0" xfId="0" applyNumberFormat="1" applyFont="1"/>
    <xf numFmtId="4" fontId="4" fillId="0" borderId="0" xfId="0" applyNumberFormat="1" applyFont="1"/>
    <xf numFmtId="0" fontId="9" fillId="6" borderId="0" xfId="0" applyFont="1" applyFill="1" applyAlignment="1">
      <alignment horizontal="center"/>
    </xf>
    <xf numFmtId="0" fontId="4" fillId="0" borderId="0" xfId="0" applyFont="1"/>
    <xf numFmtId="2" fontId="0" fillId="0" borderId="0" xfId="0" applyNumberFormat="1"/>
    <xf numFmtId="2" fontId="6" fillId="4" borderId="0" xfId="0" applyNumberFormat="1" applyFont="1" applyFill="1"/>
    <xf numFmtId="0" fontId="4" fillId="7" borderId="0" xfId="0" applyFont="1" applyFill="1"/>
    <xf numFmtId="2" fontId="4" fillId="7" borderId="0" xfId="0" applyNumberFormat="1" applyFont="1" applyFill="1"/>
    <xf numFmtId="1" fontId="4" fillId="0" borderId="0" xfId="0" applyNumberFormat="1" applyFont="1"/>
    <xf numFmtId="0" fontId="6" fillId="0" borderId="0" xfId="0" applyFont="1"/>
    <xf numFmtId="166" fontId="7" fillId="5" borderId="0" xfId="0" applyNumberFormat="1" applyFont="1" applyFill="1"/>
    <xf numFmtId="0" fontId="10" fillId="0" borderId="0" xfId="0" applyFont="1"/>
    <xf numFmtId="4" fontId="0" fillId="0" borderId="0" xfId="0" applyNumberFormat="1"/>
    <xf numFmtId="0" fontId="11" fillId="0" borderId="0" xfId="0" applyFont="1"/>
    <xf numFmtId="0" fontId="5" fillId="0" borderId="0" xfId="0" applyFont="1"/>
    <xf numFmtId="4" fontId="5" fillId="7" borderId="0" xfId="0" applyNumberFormat="1" applyFont="1" applyFill="1"/>
    <xf numFmtId="164" fontId="0" fillId="0" borderId="0" xfId="0" applyNumberFormat="1"/>
    <xf numFmtId="4" fontId="4" fillId="7" borderId="0" xfId="0" applyNumberFormat="1" applyFont="1" applyFill="1"/>
    <xf numFmtId="3" fontId="0" fillId="3" borderId="0" xfId="0" applyNumberFormat="1" applyFill="1"/>
    <xf numFmtId="0" fontId="12" fillId="0" borderId="0" xfId="0" applyFont="1"/>
    <xf numFmtId="4" fontId="12" fillId="7" borderId="0" xfId="0" applyNumberFormat="1" applyFont="1" applyFill="1"/>
    <xf numFmtId="4" fontId="5" fillId="0" borderId="0" xfId="0" applyNumberFormat="1" applyFont="1"/>
    <xf numFmtId="4" fontId="13" fillId="5" borderId="0" xfId="0" applyNumberFormat="1" applyFont="1" applyFill="1"/>
    <xf numFmtId="166" fontId="5" fillId="5" borderId="0" xfId="0" applyNumberFormat="1" applyFont="1" applyFill="1"/>
    <xf numFmtId="0" fontId="14" fillId="0" borderId="0" xfId="0" applyFont="1"/>
    <xf numFmtId="0" fontId="13" fillId="0" borderId="0" xfId="0" applyFont="1"/>
    <xf numFmtId="3" fontId="13" fillId="5" borderId="0" xfId="0" applyNumberFormat="1" applyFont="1" applyFill="1"/>
    <xf numFmtId="3" fontId="4" fillId="7" borderId="0" xfId="0" applyNumberFormat="1" applyFont="1" applyFill="1"/>
    <xf numFmtId="4" fontId="5" fillId="8" borderId="0" xfId="0" applyNumberFormat="1" applyFont="1" applyFill="1"/>
    <xf numFmtId="3" fontId="5" fillId="8" borderId="0" xfId="0" applyNumberFormat="1" applyFont="1" applyFill="1"/>
    <xf numFmtId="0" fontId="3" fillId="2" borderId="0" xfId="0" applyFont="1" applyFill="1"/>
    <xf numFmtId="0" fontId="0" fillId="0" borderId="0" xfId="0"/>
    <xf numFmtId="0" fontId="1" fillId="0" borderId="0" xfId="0" applyFont="1"/>
    <xf numFmtId="0" fontId="2" fillId="0" borderId="0" xfId="0" applyFont="1"/>
    <xf numFmtId="0" fontId="15" fillId="2" borderId="0" xfId="0" applyFont="1" applyFill="1"/>
    <xf numFmtId="0" fontId="7" fillId="5" borderId="0" xfId="0" applyFont="1" applyFill="1"/>
    <xf numFmtId="0" fontId="12" fillId="0" borderId="0" xfId="0" applyFont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8" fillId="0" borderId="0" xfId="0" applyNumberFormat="1" applyFont="1" applyFill="1" applyBorder="1" applyAlignment="1" applyProtection="1"/>
    <xf numFmtId="3" fontId="18" fillId="0" borderId="0" xfId="0" applyNumberFormat="1" applyFont="1" applyFill="1" applyBorder="1" applyAlignment="1" applyProtection="1"/>
    <xf numFmtId="0" fontId="3" fillId="0" borderId="0" xfId="0" applyFont="1" applyFill="1"/>
    <xf numFmtId="0" fontId="0" fillId="0" borderId="0" xfId="0" applyFill="1"/>
    <xf numFmtId="0" fontId="0" fillId="0" borderId="0" xfId="0" applyFill="1"/>
    <xf numFmtId="4" fontId="0" fillId="0" borderId="0" xfId="0" applyNumberFormat="1" applyFill="1"/>
    <xf numFmtId="4" fontId="4" fillId="0" borderId="0" xfId="0" applyNumberFormat="1" applyFont="1" applyFill="1"/>
    <xf numFmtId="3" fontId="0" fillId="0" borderId="0" xfId="0" applyNumberFormat="1" applyFill="1"/>
    <xf numFmtId="164" fontId="0" fillId="0" borderId="0" xfId="0" applyNumberFormat="1" applyFill="1"/>
    <xf numFmtId="0" fontId="17" fillId="0" borderId="0" xfId="1"/>
    <xf numFmtId="1" fontId="0" fillId="0" borderId="0" xfId="0" applyNumberFormat="1"/>
    <xf numFmtId="1" fontId="0" fillId="0" borderId="0" xfId="0" applyNumberFormat="1" applyFill="1"/>
    <xf numFmtId="0" fontId="4" fillId="0" borderId="0" xfId="0" applyNumberFormat="1" applyFont="1" applyFill="1" applyBorder="1" applyAlignment="1" applyProtection="1"/>
    <xf numFmtId="4" fontId="18" fillId="0" borderId="0" xfId="0" applyNumberFormat="1" applyFont="1" applyFill="1" applyBorder="1" applyAlignment="1" applyProtection="1"/>
    <xf numFmtId="165" fontId="4" fillId="9" borderId="0" xfId="0" applyNumberFormat="1" applyFont="1" applyFill="1" applyBorder="1" applyAlignment="1" applyProtection="1"/>
    <xf numFmtId="165" fontId="18" fillId="9" borderId="0" xfId="0" applyNumberFormat="1" applyFont="1" applyFill="1" applyBorder="1" applyAlignment="1" applyProtection="1"/>
    <xf numFmtId="2" fontId="18" fillId="9" borderId="0" xfId="0" applyNumberFormat="1" applyFont="1" applyFill="1" applyBorder="1" applyAlignment="1" applyProtection="1"/>
    <xf numFmtId="165" fontId="5" fillId="0" borderId="0" xfId="0" applyNumberFormat="1" applyFont="1"/>
    <xf numFmtId="0" fontId="13" fillId="0" borderId="0" xfId="0" applyNumberFormat="1" applyFont="1" applyFill="1" applyBorder="1" applyAlignment="1" applyProtection="1"/>
    <xf numFmtId="4" fontId="4" fillId="9" borderId="0" xfId="0" applyNumberFormat="1" applyFont="1" applyFill="1" applyBorder="1" applyAlignment="1" applyProtection="1"/>
    <xf numFmtId="4" fontId="18" fillId="9" borderId="0" xfId="0" applyNumberFormat="1" applyFont="1" applyFill="1" applyBorder="1" applyAlignment="1" applyProtection="1"/>
    <xf numFmtId="4" fontId="18" fillId="1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horizontal="left"/>
    </xf>
    <xf numFmtId="177" fontId="18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20" fillId="0" borderId="0" xfId="0" applyNumberFormat="1" applyFont="1" applyFill="1" applyBorder="1" applyAlignment="1" applyProtection="1"/>
    <xf numFmtId="0" fontId="18" fillId="0" borderId="1" xfId="0" applyNumberFormat="1" applyFont="1" applyFill="1" applyBorder="1" applyAlignment="1" applyProtection="1">
      <alignment vertical="top"/>
    </xf>
    <xf numFmtId="0" fontId="18" fillId="0" borderId="1" xfId="0" applyNumberFormat="1" applyFont="1" applyFill="1" applyBorder="1" applyAlignment="1" applyProtection="1">
      <alignment vertical="top" wrapText="1"/>
    </xf>
    <xf numFmtId="0" fontId="3" fillId="11" borderId="0" xfId="0" applyFont="1" applyFill="1"/>
    <xf numFmtId="0" fontId="0" fillId="12" borderId="0" xfId="0" applyFill="1"/>
    <xf numFmtId="1" fontId="7" fillId="0" borderId="0" xfId="0" applyNumberFormat="1" applyFont="1" applyFill="1"/>
    <xf numFmtId="0" fontId="3" fillId="13" borderId="0" xfId="0" applyFont="1" applyFill="1"/>
    <xf numFmtId="0" fontId="0" fillId="14" borderId="0" xfId="0" applyFill="1"/>
    <xf numFmtId="0" fontId="21" fillId="13" borderId="0" xfId="0" applyFont="1" applyFill="1"/>
    <xf numFmtId="4" fontId="23" fillId="0" borderId="0" xfId="0" applyNumberFormat="1" applyFont="1" applyFill="1"/>
    <xf numFmtId="0" fontId="24" fillId="0" borderId="0" xfId="0" applyFont="1" applyFill="1" applyAlignment="1">
      <alignment vertical="center" wrapText="1"/>
    </xf>
    <xf numFmtId="0" fontId="16" fillId="14" borderId="0" xfId="0" applyFont="1" applyFill="1" applyAlignment="1">
      <alignment horizontal="center" vertical="center" wrapText="1"/>
    </xf>
    <xf numFmtId="4" fontId="16" fillId="0" borderId="0" xfId="0" applyNumberFormat="1" applyFont="1" applyFill="1"/>
    <xf numFmtId="0" fontId="22" fillId="14" borderId="0" xfId="0" applyFont="1" applyFill="1"/>
    <xf numFmtId="0" fontId="23" fillId="0" borderId="0" xfId="0" applyFont="1" applyFill="1"/>
    <xf numFmtId="0" fontId="16" fillId="0" borderId="0" xfId="0" applyFont="1" applyAlignment="1">
      <alignment vertical="center" wrapText="1"/>
    </xf>
    <xf numFmtId="0" fontId="19" fillId="14" borderId="0" xfId="0" applyNumberFormat="1" applyFont="1" applyFill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Cumulative</a:t>
            </a:r>
            <a:r>
              <a:rPr lang="en-ID" baseline="0"/>
              <a:t> ROI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Year1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('6.5 Comparison'!$B$37,'6.5 Comparison'!$D$37)</c:f>
              <c:strCache>
                <c:ptCount val="2"/>
                <c:pt idx="0">
                  <c:v>Manual Profit</c:v>
                </c:pt>
                <c:pt idx="1">
                  <c:v>Auto Profit</c:v>
                </c:pt>
              </c:strCache>
            </c:strRef>
          </c:cat>
          <c:val>
            <c:numRef>
              <c:f>('6.5 Comparison'!$B$38,'6.5 Comparison'!$D$38)</c:f>
              <c:numCache>
                <c:formatCode>#,##0</c:formatCode>
                <c:ptCount val="2"/>
                <c:pt idx="0">
                  <c:v>4672298.7499999963</c:v>
                </c:pt>
                <c:pt idx="1">
                  <c:v>2919534.8699999996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D-423F-A120-49A157C63BC4}"/>
            </c:ext>
          </c:extLst>
        </c:ser>
        <c:ser>
          <c:idx val="1"/>
          <c:order val="1"/>
          <c:tx>
            <c:v>Year2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('6.5 Comparison'!$B$37,'6.5 Comparison'!$D$37)</c:f>
              <c:strCache>
                <c:ptCount val="2"/>
                <c:pt idx="0">
                  <c:v>Manual Profit</c:v>
                </c:pt>
                <c:pt idx="1">
                  <c:v>Auto Profit</c:v>
                </c:pt>
              </c:strCache>
            </c:strRef>
          </c:cat>
          <c:val>
            <c:numRef>
              <c:f>('6.5 Comparison'!$B$39,'6.5 Comparison'!$D$39)</c:f>
              <c:numCache>
                <c:formatCode>#,##0</c:formatCode>
                <c:ptCount val="2"/>
                <c:pt idx="0">
                  <c:v>9344597.4999999925</c:v>
                </c:pt>
                <c:pt idx="1">
                  <c:v>5839069.7399999993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4D-423F-A120-49A157C63BC4}"/>
            </c:ext>
          </c:extLst>
        </c:ser>
        <c:ser>
          <c:idx val="2"/>
          <c:order val="2"/>
          <c:tx>
            <c:v>Year3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('6.5 Comparison'!$B$37,'6.5 Comparison'!$D$37)</c:f>
              <c:strCache>
                <c:ptCount val="2"/>
                <c:pt idx="0">
                  <c:v>Manual Profit</c:v>
                </c:pt>
                <c:pt idx="1">
                  <c:v>Auto Profit</c:v>
                </c:pt>
              </c:strCache>
            </c:strRef>
          </c:cat>
          <c:val>
            <c:numRef>
              <c:f>('6.5 Comparison'!$B$40,'6.5 Comparison'!$D$40)</c:f>
              <c:numCache>
                <c:formatCode>#,##0</c:formatCode>
                <c:ptCount val="2"/>
                <c:pt idx="0">
                  <c:v>14016896.249999989</c:v>
                </c:pt>
                <c:pt idx="1">
                  <c:v>8758604.6099999994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4D-423F-A120-49A157C63BC4}"/>
            </c:ext>
          </c:extLst>
        </c:ser>
        <c:ser>
          <c:idx val="3"/>
          <c:order val="3"/>
          <c:tx>
            <c:v>Year4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('6.5 Comparison'!$B$37,'6.5 Comparison'!$D$37)</c:f>
              <c:strCache>
                <c:ptCount val="2"/>
                <c:pt idx="0">
                  <c:v>Manual Profit</c:v>
                </c:pt>
                <c:pt idx="1">
                  <c:v>Auto Profit</c:v>
                </c:pt>
              </c:strCache>
            </c:strRef>
          </c:cat>
          <c:val>
            <c:numRef>
              <c:f>('6.5 Comparison'!$B$41,'6.5 Comparison'!$D$41)</c:f>
              <c:numCache>
                <c:formatCode>#,##0</c:formatCode>
                <c:ptCount val="2"/>
                <c:pt idx="0">
                  <c:v>18689194.999999985</c:v>
                </c:pt>
                <c:pt idx="1">
                  <c:v>11678139.479999999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4D-423F-A120-49A157C63BC4}"/>
            </c:ext>
          </c:extLst>
        </c:ser>
        <c:ser>
          <c:idx val="4"/>
          <c:order val="4"/>
          <c:tx>
            <c:v>Year5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('6.5 Comparison'!$B$37,'6.5 Comparison'!$D$37)</c:f>
              <c:strCache>
                <c:ptCount val="2"/>
                <c:pt idx="0">
                  <c:v>Manual Profit</c:v>
                </c:pt>
                <c:pt idx="1">
                  <c:v>Auto Profit</c:v>
                </c:pt>
              </c:strCache>
            </c:strRef>
          </c:cat>
          <c:val>
            <c:numRef>
              <c:f>('6.5 Comparison'!$B$42,'6.5 Comparison'!$D$42)</c:f>
              <c:numCache>
                <c:formatCode>#,##0</c:formatCode>
                <c:ptCount val="2"/>
                <c:pt idx="0">
                  <c:v>23361493.749999981</c:v>
                </c:pt>
                <c:pt idx="1">
                  <c:v>14597674.349999998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4D-423F-A120-49A157C63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1125120"/>
        <c:axId val="1891127040"/>
      </c:barChart>
      <c:catAx>
        <c:axId val="18911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27040"/>
        <c:crosses val="autoZero"/>
        <c:auto val="1"/>
        <c:lblAlgn val="ctr"/>
        <c:lblOffset val="100"/>
        <c:noMultiLvlLbl val="0"/>
      </c:catAx>
      <c:valAx>
        <c:axId val="189112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668867</xdr:colOff>
      <xdr:row>34</xdr:row>
      <xdr:rowOff>67733</xdr:rowOff>
    </xdr:from>
    <xdr:to>
      <xdr:col>9</xdr:col>
      <xdr:colOff>423334</xdr:colOff>
      <xdr:row>45</xdr:row>
      <xdr:rowOff>126999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A69972-CC6E-2115-9B78-7DE45FF2C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roboticscenter.ai/learn/robot-arm-pricing-2026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opLeftCell="A3" zoomScale="80" zoomScaleNormal="80" workbookViewId="0">
      <selection activeCell="B20" sqref="B20"/>
    </sheetView>
  </sheetViews>
  <sheetFormatPr defaultRowHeight="14.4" x14ac:dyDescent="0.3"/>
  <cols>
    <col min="1" max="1" width="45" customWidth="1"/>
    <col min="2" max="2" width="18" customWidth="1"/>
    <col min="3" max="3" width="35" customWidth="1"/>
  </cols>
  <sheetData>
    <row r="1" spans="1:7" ht="18" x14ac:dyDescent="0.35">
      <c r="A1" s="46" t="s">
        <v>0</v>
      </c>
      <c r="B1" s="45"/>
      <c r="C1" s="45"/>
    </row>
    <row r="2" spans="1:7" x14ac:dyDescent="0.3">
      <c r="A2" s="47" t="s">
        <v>1</v>
      </c>
      <c r="B2" s="45"/>
      <c r="C2" s="45"/>
    </row>
    <row r="5" spans="1:7" x14ac:dyDescent="0.3">
      <c r="A5" s="44" t="s">
        <v>2</v>
      </c>
      <c r="B5" s="45"/>
      <c r="C5" s="45"/>
    </row>
    <row r="6" spans="1:7" x14ac:dyDescent="0.3">
      <c r="A6" s="83" t="s">
        <v>308</v>
      </c>
      <c r="B6" s="84" t="s">
        <v>309</v>
      </c>
      <c r="C6" s="84" t="s">
        <v>79</v>
      </c>
    </row>
    <row r="7" spans="1:7" x14ac:dyDescent="0.3">
      <c r="A7" t="s">
        <v>3</v>
      </c>
      <c r="B7" s="2">
        <v>150000</v>
      </c>
      <c r="C7" t="s">
        <v>4</v>
      </c>
    </row>
    <row r="8" spans="1:7" x14ac:dyDescent="0.3">
      <c r="A8" t="s">
        <v>5</v>
      </c>
      <c r="B8" s="3">
        <v>300</v>
      </c>
      <c r="C8" t="s">
        <v>141</v>
      </c>
    </row>
    <row r="9" spans="1:7" x14ac:dyDescent="0.3">
      <c r="A9" t="s">
        <v>6</v>
      </c>
      <c r="B9" s="2">
        <f>B7/B8</f>
        <v>500</v>
      </c>
      <c r="C9" t="s">
        <v>7</v>
      </c>
    </row>
    <row r="10" spans="1:7" x14ac:dyDescent="0.3">
      <c r="A10" t="s">
        <v>8</v>
      </c>
      <c r="B10" s="3">
        <v>2</v>
      </c>
      <c r="C10" t="s">
        <v>9</v>
      </c>
    </row>
    <row r="11" spans="1:7" x14ac:dyDescent="0.3">
      <c r="A11" t="s">
        <v>10</v>
      </c>
      <c r="B11" s="3">
        <v>8</v>
      </c>
      <c r="C11" t="s">
        <v>11</v>
      </c>
    </row>
    <row r="12" spans="1:7" x14ac:dyDescent="0.3">
      <c r="A12" t="s">
        <v>12</v>
      </c>
      <c r="B12" s="4">
        <f>B10*B11*60</f>
        <v>960</v>
      </c>
      <c r="C12" t="s">
        <v>13</v>
      </c>
      <c r="E12" s="88" t="s">
        <v>120</v>
      </c>
      <c r="F12" s="87" t="s">
        <v>309</v>
      </c>
      <c r="G12" s="87" t="s">
        <v>79</v>
      </c>
    </row>
    <row r="13" spans="1:7" x14ac:dyDescent="0.3">
      <c r="E13" t="s">
        <v>15</v>
      </c>
      <c r="F13" s="72" t="e">
        <f>F9/F6</f>
        <v>#DIV/0!</v>
      </c>
      <c r="G13" t="s">
        <v>16</v>
      </c>
    </row>
    <row r="14" spans="1:7" x14ac:dyDescent="0.3">
      <c r="A14" s="44" t="s">
        <v>14</v>
      </c>
      <c r="B14" s="45"/>
      <c r="C14" s="45"/>
      <c r="E14" t="s">
        <v>17</v>
      </c>
      <c r="F14" s="22" t="e">
        <f>F13*60</f>
        <v>#DIV/0!</v>
      </c>
      <c r="G14" t="s">
        <v>18</v>
      </c>
    </row>
    <row r="15" spans="1:7" x14ac:dyDescent="0.3">
      <c r="A15" s="88" t="s">
        <v>120</v>
      </c>
      <c r="B15" s="87" t="s">
        <v>309</v>
      </c>
      <c r="C15" s="87" t="s">
        <v>79</v>
      </c>
      <c r="E15" t="s">
        <v>19</v>
      </c>
      <c r="F15" s="5">
        <v>121.5</v>
      </c>
      <c r="G15" t="s">
        <v>20</v>
      </c>
    </row>
    <row r="16" spans="1:7" x14ac:dyDescent="0.3">
      <c r="A16" t="s">
        <v>15</v>
      </c>
      <c r="B16" s="72">
        <f>B12/B9</f>
        <v>1.92</v>
      </c>
      <c r="C16" t="s">
        <v>16</v>
      </c>
      <c r="E16" t="s">
        <v>21</v>
      </c>
      <c r="F16" s="6">
        <f>F15/60</f>
        <v>2.0249999999999999</v>
      </c>
      <c r="G16" t="s">
        <v>22</v>
      </c>
    </row>
    <row r="17" spans="1:7" x14ac:dyDescent="0.3">
      <c r="A17" t="s">
        <v>17</v>
      </c>
      <c r="B17" s="22">
        <f>B16*60</f>
        <v>115.19999999999999</v>
      </c>
      <c r="C17" t="s">
        <v>18</v>
      </c>
      <c r="E17" t="s">
        <v>23</v>
      </c>
      <c r="F17" s="7" t="e">
        <f>F14/F15</f>
        <v>#DIV/0!</v>
      </c>
      <c r="G17" t="s">
        <v>24</v>
      </c>
    </row>
    <row r="18" spans="1:7" x14ac:dyDescent="0.3">
      <c r="A18" t="s">
        <v>19</v>
      </c>
      <c r="B18" s="5">
        <v>121.5</v>
      </c>
      <c r="C18" t="s">
        <v>20</v>
      </c>
    </row>
    <row r="19" spans="1:7" x14ac:dyDescent="0.3">
      <c r="A19" t="s">
        <v>21</v>
      </c>
      <c r="B19" s="6">
        <f>B18/60</f>
        <v>2.0249999999999999</v>
      </c>
      <c r="C19" t="s">
        <v>22</v>
      </c>
    </row>
    <row r="20" spans="1:7" x14ac:dyDescent="0.3">
      <c r="A20" t="s">
        <v>23</v>
      </c>
      <c r="B20" s="7">
        <f>B17/B18</f>
        <v>0.94814814814814807</v>
      </c>
      <c r="C20" t="s">
        <v>24</v>
      </c>
    </row>
    <row r="22" spans="1:7" x14ac:dyDescent="0.3">
      <c r="A22" s="44" t="s">
        <v>25</v>
      </c>
      <c r="B22" s="45"/>
      <c r="C22" s="45"/>
    </row>
    <row r="23" spans="1:7" x14ac:dyDescent="0.3">
      <c r="A23" s="88" t="s">
        <v>120</v>
      </c>
      <c r="B23" s="87" t="s">
        <v>309</v>
      </c>
      <c r="C23" s="87" t="s">
        <v>79</v>
      </c>
    </row>
    <row r="24" spans="1:7" x14ac:dyDescent="0.3">
      <c r="A24" t="s">
        <v>26</v>
      </c>
      <c r="B24" s="9">
        <v>458.75</v>
      </c>
      <c r="C24" t="s">
        <v>27</v>
      </c>
    </row>
    <row r="25" spans="1:7" x14ac:dyDescent="0.3">
      <c r="A25" t="s">
        <v>28</v>
      </c>
      <c r="B25" s="10">
        <f>ROUNDUP(B24/B17,0)</f>
        <v>4</v>
      </c>
      <c r="C25" t="s">
        <v>29</v>
      </c>
    </row>
    <row r="26" spans="1:7" x14ac:dyDescent="0.3">
      <c r="A26" t="s">
        <v>30</v>
      </c>
      <c r="B26" s="85">
        <v>4</v>
      </c>
      <c r="C26" t="s">
        <v>31</v>
      </c>
    </row>
    <row r="27" spans="1:7" x14ac:dyDescent="0.3">
      <c r="A27" t="s">
        <v>32</v>
      </c>
      <c r="B27" s="7">
        <f>B25/B26</f>
        <v>1</v>
      </c>
      <c r="C27" t="s">
        <v>310</v>
      </c>
    </row>
    <row r="29" spans="1:7" hidden="1" x14ac:dyDescent="0.3">
      <c r="A29" s="44" t="s">
        <v>33</v>
      </c>
      <c r="B29" s="45"/>
      <c r="C29" s="45"/>
    </row>
    <row r="30" spans="1:7" hidden="1" x14ac:dyDescent="0.3">
      <c r="A30" s="88" t="s">
        <v>120</v>
      </c>
      <c r="B30" s="87" t="s">
        <v>309</v>
      </c>
      <c r="C30" s="87" t="s">
        <v>79</v>
      </c>
    </row>
    <row r="31" spans="1:7" hidden="1" x14ac:dyDescent="0.3">
      <c r="A31" t="s">
        <v>34</v>
      </c>
      <c r="B31" s="11">
        <f>B17/B18</f>
        <v>0.94814814814814807</v>
      </c>
      <c r="C31" t="s">
        <v>35</v>
      </c>
    </row>
    <row r="32" spans="1:7" hidden="1" x14ac:dyDescent="0.3">
      <c r="A32" t="s">
        <v>36</v>
      </c>
      <c r="B32" s="12">
        <f>B24/B18</f>
        <v>3.7757201646090537</v>
      </c>
      <c r="C32" t="s">
        <v>37</v>
      </c>
    </row>
    <row r="33" spans="1:3" hidden="1" x14ac:dyDescent="0.3">
      <c r="A33" t="s">
        <v>38</v>
      </c>
      <c r="B33" s="7">
        <f>(B9*B18/60)/B12</f>
        <v>1.0546875</v>
      </c>
      <c r="C33" t="s">
        <v>39</v>
      </c>
    </row>
    <row r="34" spans="1:3" hidden="1" x14ac:dyDescent="0.3">
      <c r="A34" t="s">
        <v>40</v>
      </c>
      <c r="B34" s="13">
        <f>1-B33</f>
        <v>-5.46875E-2</v>
      </c>
      <c r="C34" t="s">
        <v>41</v>
      </c>
    </row>
    <row r="35" spans="1:3" hidden="1" x14ac:dyDescent="0.3"/>
    <row r="36" spans="1:3" hidden="1" x14ac:dyDescent="0.3">
      <c r="A36" s="44" t="s">
        <v>42</v>
      </c>
      <c r="B36" s="45"/>
      <c r="C36" s="45"/>
    </row>
    <row r="37" spans="1:3" hidden="1" x14ac:dyDescent="0.3">
      <c r="A37" t="s">
        <v>43</v>
      </c>
      <c r="B37" s="14">
        <v>10</v>
      </c>
      <c r="C37" t="s">
        <v>44</v>
      </c>
    </row>
    <row r="38" spans="1:3" hidden="1" x14ac:dyDescent="0.3">
      <c r="A38" t="s">
        <v>45</v>
      </c>
      <c r="B38">
        <v>4</v>
      </c>
      <c r="C38" t="s">
        <v>46</v>
      </c>
    </row>
    <row r="39" spans="1:3" hidden="1" x14ac:dyDescent="0.3">
      <c r="A39" t="s">
        <v>47</v>
      </c>
      <c r="B39">
        <v>2</v>
      </c>
      <c r="C39" t="s">
        <v>48</v>
      </c>
    </row>
    <row r="40" spans="1:3" hidden="1" x14ac:dyDescent="0.3">
      <c r="A40" t="s">
        <v>49</v>
      </c>
      <c r="B40" s="60">
        <v>81.3</v>
      </c>
      <c r="C40" t="s">
        <v>50</v>
      </c>
    </row>
    <row r="41" spans="1:3" hidden="1" x14ac:dyDescent="0.3">
      <c r="A41" t="s">
        <v>208</v>
      </c>
      <c r="B41" s="4">
        <f>B37*8*B40</f>
        <v>6504</v>
      </c>
      <c r="C41" t="s">
        <v>51</v>
      </c>
    </row>
    <row r="42" spans="1:3" hidden="1" x14ac:dyDescent="0.3">
      <c r="A42" t="s">
        <v>52</v>
      </c>
      <c r="B42" s="4">
        <f>B41*B8</f>
        <v>1951200</v>
      </c>
      <c r="C42" t="s">
        <v>53</v>
      </c>
    </row>
    <row r="43" spans="1:3" hidden="1" x14ac:dyDescent="0.3">
      <c r="A43" t="s">
        <v>54</v>
      </c>
      <c r="B43" s="15">
        <f>B42/B7</f>
        <v>13.007999999999999</v>
      </c>
      <c r="C43" t="s">
        <v>55</v>
      </c>
    </row>
  </sheetData>
  <mergeCells count="7">
    <mergeCell ref="A36:C36"/>
    <mergeCell ref="A1:C1"/>
    <mergeCell ref="A29:C29"/>
    <mergeCell ref="A22:C22"/>
    <mergeCell ref="A14:C14"/>
    <mergeCell ref="A5:C5"/>
    <mergeCell ref="A2:C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C21" sqref="C21"/>
    </sheetView>
  </sheetViews>
  <sheetFormatPr defaultRowHeight="14.4" x14ac:dyDescent="0.3"/>
  <cols>
    <col min="1" max="1" width="25" customWidth="1"/>
    <col min="2" max="2" width="20" customWidth="1"/>
    <col min="3" max="4" width="18" customWidth="1"/>
    <col min="5" max="5" width="20" customWidth="1"/>
  </cols>
  <sheetData>
    <row r="1" spans="1:5" ht="18" x14ac:dyDescent="0.35">
      <c r="A1" s="46" t="s">
        <v>56</v>
      </c>
      <c r="B1" s="45"/>
      <c r="C1" s="45"/>
      <c r="D1" s="45"/>
      <c r="E1" s="45"/>
    </row>
    <row r="2" spans="1:5" x14ac:dyDescent="0.3">
      <c r="A2" s="47" t="s">
        <v>57</v>
      </c>
      <c r="B2" s="45"/>
      <c r="C2" s="45"/>
      <c r="D2" s="45"/>
      <c r="E2" s="45"/>
    </row>
    <row r="4" spans="1:5" x14ac:dyDescent="0.3">
      <c r="A4" s="16" t="s">
        <v>58</v>
      </c>
      <c r="B4" s="16" t="s">
        <v>59</v>
      </c>
      <c r="C4" s="16" t="s">
        <v>60</v>
      </c>
      <c r="D4" s="16" t="s">
        <v>61</v>
      </c>
      <c r="E4" s="16" t="s">
        <v>62</v>
      </c>
    </row>
    <row r="5" spans="1:5" x14ac:dyDescent="0.3">
      <c r="A5" s="17" t="s">
        <v>63</v>
      </c>
      <c r="B5" t="s">
        <v>64</v>
      </c>
      <c r="C5" s="18">
        <v>117</v>
      </c>
      <c r="D5" s="18">
        <v>1.95</v>
      </c>
      <c r="E5" s="12">
        <f>C5/B12</f>
        <v>1.017391304347826</v>
      </c>
    </row>
    <row r="6" spans="1:5" x14ac:dyDescent="0.3">
      <c r="A6" s="17" t="s">
        <v>65</v>
      </c>
      <c r="B6" t="s">
        <v>66</v>
      </c>
      <c r="C6" s="18">
        <v>107.25</v>
      </c>
      <c r="D6" s="18">
        <v>1.7875000000000001</v>
      </c>
      <c r="E6" s="12">
        <f>C6/B12</f>
        <v>0.93260869565217386</v>
      </c>
    </row>
    <row r="7" spans="1:5" x14ac:dyDescent="0.3">
      <c r="A7" s="17" t="s">
        <v>67</v>
      </c>
      <c r="B7" t="s">
        <v>68</v>
      </c>
      <c r="C7" s="18">
        <v>113</v>
      </c>
      <c r="D7" s="18">
        <v>1.8833333333333331</v>
      </c>
      <c r="E7" s="12">
        <f>C7/B12</f>
        <v>0.9826086956521739</v>
      </c>
    </row>
    <row r="8" spans="1:5" x14ac:dyDescent="0.3">
      <c r="A8" s="17" t="s">
        <v>69</v>
      </c>
      <c r="B8" t="s">
        <v>70</v>
      </c>
      <c r="C8" s="19">
        <v>121.5</v>
      </c>
      <c r="D8" s="18">
        <v>2.0249999999999999</v>
      </c>
      <c r="E8" s="12">
        <f>C8/B12</f>
        <v>1.0565217391304347</v>
      </c>
    </row>
    <row r="9" spans="1:5" x14ac:dyDescent="0.3">
      <c r="A9" s="20" t="s">
        <v>71</v>
      </c>
      <c r="C9" s="21">
        <f>SUM(C5:C8)</f>
        <v>458.75</v>
      </c>
      <c r="D9" s="21">
        <f>C9/60</f>
        <v>7.645833333333333</v>
      </c>
    </row>
    <row r="11" spans="1:5" x14ac:dyDescent="0.3">
      <c r="A11" s="44" t="s">
        <v>72</v>
      </c>
      <c r="B11" s="45"/>
      <c r="C11" s="45"/>
      <c r="D11" s="45"/>
      <c r="E11" s="45"/>
    </row>
    <row r="12" spans="1:5" x14ac:dyDescent="0.3">
      <c r="A12" t="s">
        <v>73</v>
      </c>
      <c r="B12" s="22">
        <v>115</v>
      </c>
    </row>
    <row r="13" spans="1:5" x14ac:dyDescent="0.3">
      <c r="A13" t="s">
        <v>74</v>
      </c>
      <c r="B13" t="s">
        <v>69</v>
      </c>
      <c r="C13" s="23">
        <v>121.5</v>
      </c>
    </row>
    <row r="14" spans="1:5" x14ac:dyDescent="0.3">
      <c r="A14" t="s">
        <v>34</v>
      </c>
      <c r="B14" s="24">
        <f>B12/121.5</f>
        <v>0.94650205761316875</v>
      </c>
    </row>
    <row r="15" spans="1:5" x14ac:dyDescent="0.3">
      <c r="A15" t="s">
        <v>75</v>
      </c>
      <c r="B15" s="25" t="s">
        <v>142</v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9"/>
  <sheetViews>
    <sheetView topLeftCell="A51" zoomScale="80" zoomScaleNormal="80" workbookViewId="0">
      <selection activeCell="G76" sqref="G76"/>
    </sheetView>
  </sheetViews>
  <sheetFormatPr defaultRowHeight="14.4" x14ac:dyDescent="0.3"/>
  <cols>
    <col min="1" max="1" width="29.77734375" customWidth="1"/>
    <col min="2" max="3" width="37.5546875" customWidth="1"/>
    <col min="4" max="4" width="25" customWidth="1"/>
    <col min="6" max="6" width="26.44140625" customWidth="1"/>
    <col min="7" max="7" width="12.109375" customWidth="1"/>
    <col min="8" max="8" width="10.5546875" customWidth="1"/>
    <col min="10" max="10" width="12.33203125" customWidth="1"/>
    <col min="11" max="11" width="33.5546875" customWidth="1"/>
  </cols>
  <sheetData>
    <row r="1" spans="1:11" ht="18" x14ac:dyDescent="0.35">
      <c r="A1" s="46" t="s">
        <v>76</v>
      </c>
      <c r="B1" s="46"/>
      <c r="C1" s="46"/>
      <c r="D1" s="45"/>
    </row>
    <row r="2" spans="1:11" ht="18" x14ac:dyDescent="0.35">
      <c r="A2" s="1"/>
      <c r="B2" s="1"/>
      <c r="C2" s="1"/>
    </row>
    <row r="3" spans="1:11" ht="18" x14ac:dyDescent="0.35">
      <c r="A3" s="1"/>
      <c r="B3" s="1"/>
      <c r="C3" s="1"/>
    </row>
    <row r="4" spans="1:11" ht="18" x14ac:dyDescent="0.35">
      <c r="A4" s="1"/>
      <c r="B4" s="1"/>
      <c r="C4" s="1"/>
    </row>
    <row r="5" spans="1:11" ht="18" x14ac:dyDescent="0.35">
      <c r="A5" s="1"/>
      <c r="B5" s="1"/>
      <c r="C5" s="1"/>
    </row>
    <row r="6" spans="1:11" ht="18" x14ac:dyDescent="0.35">
      <c r="A6" s="1"/>
      <c r="B6" s="1"/>
      <c r="C6" s="1"/>
    </row>
    <row r="7" spans="1:11" ht="18" x14ac:dyDescent="0.35">
      <c r="A7" s="1"/>
      <c r="B7" s="1"/>
      <c r="C7" s="1"/>
    </row>
    <row r="8" spans="1:11" ht="18" x14ac:dyDescent="0.35">
      <c r="A8" s="1"/>
      <c r="B8" s="1"/>
      <c r="C8" s="1"/>
    </row>
    <row r="9" spans="1:11" ht="18" x14ac:dyDescent="0.35">
      <c r="A9" s="1"/>
      <c r="B9" s="1"/>
      <c r="C9" s="1"/>
    </row>
    <row r="10" spans="1:11" ht="18" x14ac:dyDescent="0.35">
      <c r="A10" s="1"/>
      <c r="B10" s="1"/>
      <c r="C10" s="1"/>
    </row>
    <row r="11" spans="1:11" x14ac:dyDescent="0.3">
      <c r="A11" s="47" t="s">
        <v>77</v>
      </c>
      <c r="B11" s="47"/>
      <c r="C11" s="47"/>
      <c r="D11" s="45"/>
    </row>
    <row r="12" spans="1:11" ht="28.8" x14ac:dyDescent="0.3">
      <c r="F12" s="51" t="s">
        <v>143</v>
      </c>
      <c r="G12" s="52" t="s">
        <v>148</v>
      </c>
      <c r="H12" s="51" t="s">
        <v>144</v>
      </c>
      <c r="I12" s="52" t="s">
        <v>149</v>
      </c>
      <c r="J12" s="52" t="s">
        <v>150</v>
      </c>
      <c r="K12" s="51" t="s">
        <v>151</v>
      </c>
    </row>
    <row r="13" spans="1:11" ht="28.8" x14ac:dyDescent="0.3">
      <c r="A13" s="91" t="s">
        <v>217</v>
      </c>
      <c r="B13" s="91" t="s">
        <v>218</v>
      </c>
      <c r="C13" s="91" t="s">
        <v>78</v>
      </c>
      <c r="E13">
        <v>1</v>
      </c>
      <c r="F13" s="53" t="s">
        <v>152</v>
      </c>
      <c r="G13" s="54">
        <v>1</v>
      </c>
      <c r="H13" s="53" t="s">
        <v>145</v>
      </c>
      <c r="I13" s="54">
        <v>50</v>
      </c>
      <c r="J13" s="54">
        <f>I13*G13</f>
        <v>50</v>
      </c>
      <c r="K13" s="53" t="s">
        <v>153</v>
      </c>
    </row>
    <row r="14" spans="1:11" x14ac:dyDescent="0.3">
      <c r="A14" s="53" t="s">
        <v>228</v>
      </c>
      <c r="B14" s="53" t="s">
        <v>219</v>
      </c>
      <c r="C14">
        <v>345000</v>
      </c>
      <c r="E14">
        <v>2</v>
      </c>
      <c r="F14" s="53" t="s">
        <v>154</v>
      </c>
      <c r="G14" s="54">
        <v>1</v>
      </c>
      <c r="H14" s="53" t="s">
        <v>146</v>
      </c>
      <c r="I14" s="54">
        <v>15</v>
      </c>
      <c r="J14" s="54">
        <f t="shared" ref="J14:J42" si="0">I14*G14</f>
        <v>15</v>
      </c>
      <c r="K14" s="53" t="s">
        <v>155</v>
      </c>
    </row>
    <row r="15" spans="1:11" ht="28.8" x14ac:dyDescent="0.3">
      <c r="A15" s="53" t="s">
        <v>211</v>
      </c>
      <c r="B15" s="53" t="s">
        <v>220</v>
      </c>
      <c r="C15" s="53">
        <v>10000</v>
      </c>
      <c r="E15">
        <v>3</v>
      </c>
      <c r="F15" s="53" t="s">
        <v>156</v>
      </c>
      <c r="G15" s="54">
        <v>1</v>
      </c>
      <c r="H15" s="53" t="s">
        <v>146</v>
      </c>
      <c r="I15" s="54">
        <v>20</v>
      </c>
      <c r="J15" s="54">
        <f t="shared" si="0"/>
        <v>20</v>
      </c>
      <c r="K15" s="53" t="s">
        <v>157</v>
      </c>
    </row>
    <row r="16" spans="1:11" ht="28.8" x14ac:dyDescent="0.3">
      <c r="A16" s="53" t="s">
        <v>221</v>
      </c>
      <c r="B16" s="53" t="s">
        <v>222</v>
      </c>
      <c r="C16" s="53">
        <v>8000</v>
      </c>
      <c r="E16">
        <v>4</v>
      </c>
      <c r="F16" s="53" t="s">
        <v>158</v>
      </c>
      <c r="G16" s="54">
        <v>1</v>
      </c>
      <c r="H16" s="53" t="s">
        <v>145</v>
      </c>
      <c r="I16" s="54">
        <v>7</v>
      </c>
      <c r="J16" s="54">
        <f t="shared" si="0"/>
        <v>7</v>
      </c>
      <c r="K16" s="53" t="s">
        <v>159</v>
      </c>
    </row>
    <row r="17" spans="1:11" x14ac:dyDescent="0.3">
      <c r="A17" s="53" t="s">
        <v>212</v>
      </c>
      <c r="B17" s="53" t="s">
        <v>223</v>
      </c>
      <c r="C17" s="53">
        <f>2000*6</f>
        <v>12000</v>
      </c>
      <c r="E17">
        <v>5</v>
      </c>
      <c r="F17" s="53" t="s">
        <v>160</v>
      </c>
      <c r="G17" s="54">
        <v>1</v>
      </c>
      <c r="H17" s="53" t="s">
        <v>145</v>
      </c>
      <c r="I17" s="54">
        <v>5</v>
      </c>
      <c r="J17" s="54">
        <f t="shared" si="0"/>
        <v>5</v>
      </c>
      <c r="K17" s="53" t="s">
        <v>161</v>
      </c>
    </row>
    <row r="18" spans="1:11" x14ac:dyDescent="0.3">
      <c r="A18" s="53" t="s">
        <v>213</v>
      </c>
      <c r="B18" s="53" t="s">
        <v>224</v>
      </c>
      <c r="C18" s="53">
        <v>5400</v>
      </c>
      <c r="E18">
        <v>6</v>
      </c>
      <c r="F18" s="53" t="s">
        <v>162</v>
      </c>
      <c r="G18" s="54">
        <v>1</v>
      </c>
      <c r="H18" s="53" t="s">
        <v>146</v>
      </c>
      <c r="I18" s="54">
        <v>3</v>
      </c>
      <c r="J18" s="54">
        <f t="shared" si="0"/>
        <v>3</v>
      </c>
      <c r="K18" s="53" t="s">
        <v>163</v>
      </c>
    </row>
    <row r="19" spans="1:11" x14ac:dyDescent="0.3">
      <c r="A19" s="53" t="s">
        <v>214</v>
      </c>
      <c r="B19" s="53" t="s">
        <v>225</v>
      </c>
      <c r="C19" s="53">
        <v>3000</v>
      </c>
      <c r="E19">
        <v>7</v>
      </c>
      <c r="F19" s="53" t="s">
        <v>164</v>
      </c>
      <c r="G19" s="54">
        <v>1</v>
      </c>
      <c r="H19" s="53" t="s">
        <v>145</v>
      </c>
      <c r="I19" s="54">
        <v>2</v>
      </c>
      <c r="J19" s="54">
        <f t="shared" si="0"/>
        <v>2</v>
      </c>
      <c r="K19" s="53" t="s">
        <v>165</v>
      </c>
    </row>
    <row r="20" spans="1:11" x14ac:dyDescent="0.3">
      <c r="A20" s="53" t="s">
        <v>215</v>
      </c>
      <c r="B20" s="53" t="s">
        <v>226</v>
      </c>
      <c r="C20" s="53">
        <v>1200</v>
      </c>
      <c r="E20">
        <v>8</v>
      </c>
      <c r="F20" s="53" t="s">
        <v>166</v>
      </c>
      <c r="G20" s="54">
        <v>1</v>
      </c>
      <c r="H20" s="53" t="s">
        <v>145</v>
      </c>
      <c r="I20" s="54">
        <v>3</v>
      </c>
      <c r="J20" s="54">
        <f t="shared" si="0"/>
        <v>3</v>
      </c>
      <c r="K20" s="53" t="s">
        <v>167</v>
      </c>
    </row>
    <row r="21" spans="1:11" x14ac:dyDescent="0.3">
      <c r="A21" s="53" t="s">
        <v>216</v>
      </c>
      <c r="B21" s="53" t="s">
        <v>227</v>
      </c>
      <c r="C21" s="53">
        <v>3500</v>
      </c>
      <c r="E21">
        <v>9</v>
      </c>
      <c r="F21" s="53" t="s">
        <v>168</v>
      </c>
      <c r="G21" s="54">
        <v>1</v>
      </c>
      <c r="H21" s="53" t="s">
        <v>145</v>
      </c>
      <c r="I21" s="54">
        <v>2</v>
      </c>
      <c r="J21" s="54">
        <f t="shared" si="0"/>
        <v>2</v>
      </c>
      <c r="K21" s="53" t="s">
        <v>169</v>
      </c>
    </row>
    <row r="22" spans="1:11" x14ac:dyDescent="0.3">
      <c r="A22" s="92" t="s">
        <v>311</v>
      </c>
      <c r="C22" s="59">
        <f>SUM(C14:C21)</f>
        <v>388100</v>
      </c>
      <c r="D22" t="s">
        <v>230</v>
      </c>
      <c r="E22">
        <v>10</v>
      </c>
      <c r="F22" s="53" t="s">
        <v>170</v>
      </c>
      <c r="G22" s="54">
        <v>1</v>
      </c>
      <c r="H22" s="53" t="s">
        <v>145</v>
      </c>
      <c r="I22" s="54">
        <v>2</v>
      </c>
      <c r="J22" s="54">
        <f t="shared" si="0"/>
        <v>2</v>
      </c>
      <c r="K22" s="53" t="s">
        <v>171</v>
      </c>
    </row>
    <row r="23" spans="1:11" x14ac:dyDescent="0.3">
      <c r="A23" s="61" t="s">
        <v>312</v>
      </c>
      <c r="C23" s="59">
        <f>C22/5</f>
        <v>77620</v>
      </c>
      <c r="D23" t="s">
        <v>229</v>
      </c>
      <c r="E23">
        <v>11</v>
      </c>
      <c r="F23" s="53" t="s">
        <v>147</v>
      </c>
      <c r="G23" s="54">
        <v>1</v>
      </c>
      <c r="H23" s="53" t="s">
        <v>146</v>
      </c>
      <c r="I23" s="54">
        <v>15</v>
      </c>
      <c r="J23" s="54">
        <f t="shared" si="0"/>
        <v>15</v>
      </c>
      <c r="K23" s="53" t="s">
        <v>172</v>
      </c>
    </row>
    <row r="24" spans="1:11" x14ac:dyDescent="0.3">
      <c r="A24" s="90" t="s">
        <v>313</v>
      </c>
      <c r="C24" s="63">
        <f>C23/150000</f>
        <v>0.51746666666666663</v>
      </c>
      <c r="E24">
        <v>12</v>
      </c>
      <c r="F24" s="53" t="s">
        <v>173</v>
      </c>
      <c r="G24" s="54">
        <v>1</v>
      </c>
      <c r="H24" s="53" t="s">
        <v>145</v>
      </c>
      <c r="I24" s="54">
        <v>10</v>
      </c>
      <c r="J24" s="54">
        <f t="shared" si="0"/>
        <v>10</v>
      </c>
      <c r="K24" s="53" t="s">
        <v>174</v>
      </c>
    </row>
    <row r="25" spans="1:11" x14ac:dyDescent="0.3">
      <c r="A25" s="57"/>
      <c r="B25" s="57"/>
      <c r="C25" s="57"/>
      <c r="D25" s="58"/>
      <c r="E25">
        <v>13</v>
      </c>
      <c r="F25" s="53" t="s">
        <v>175</v>
      </c>
      <c r="G25" s="54">
        <v>1</v>
      </c>
      <c r="H25" s="53" t="s">
        <v>145</v>
      </c>
      <c r="I25" s="54">
        <v>3</v>
      </c>
      <c r="J25" s="54">
        <f t="shared" si="0"/>
        <v>3</v>
      </c>
      <c r="K25" s="53" t="s">
        <v>176</v>
      </c>
    </row>
    <row r="26" spans="1:11" x14ac:dyDescent="0.3">
      <c r="A26" s="59"/>
      <c r="B26" s="59"/>
      <c r="C26" s="59"/>
      <c r="D26" s="59"/>
      <c r="E26">
        <v>14</v>
      </c>
      <c r="F26" s="53" t="s">
        <v>177</v>
      </c>
      <c r="G26" s="54">
        <v>1</v>
      </c>
      <c r="H26" s="53" t="s">
        <v>145</v>
      </c>
      <c r="I26" s="54">
        <v>15</v>
      </c>
      <c r="J26" s="54">
        <f t="shared" si="0"/>
        <v>15</v>
      </c>
      <c r="K26" s="53" t="s">
        <v>178</v>
      </c>
    </row>
    <row r="27" spans="1:11" x14ac:dyDescent="0.3">
      <c r="A27" s="53"/>
      <c r="B27" s="53"/>
      <c r="C27" s="53"/>
      <c r="D27" s="59"/>
      <c r="E27">
        <v>15</v>
      </c>
      <c r="F27" s="53" t="s">
        <v>179</v>
      </c>
      <c r="G27" s="54">
        <v>1</v>
      </c>
      <c r="H27" s="53" t="s">
        <v>145</v>
      </c>
      <c r="I27" s="54">
        <v>10</v>
      </c>
      <c r="J27" s="54">
        <f t="shared" si="0"/>
        <v>10</v>
      </c>
      <c r="K27" s="53" t="s">
        <v>180</v>
      </c>
    </row>
    <row r="28" spans="1:11" x14ac:dyDescent="0.3">
      <c r="A28" s="59"/>
      <c r="B28" s="59"/>
      <c r="C28" s="59"/>
      <c r="D28" s="59"/>
      <c r="E28">
        <v>16</v>
      </c>
      <c r="F28" s="53" t="s">
        <v>181</v>
      </c>
      <c r="G28" s="54">
        <v>1</v>
      </c>
      <c r="H28" s="53" t="s">
        <v>145</v>
      </c>
      <c r="I28" s="54">
        <v>1.5</v>
      </c>
      <c r="J28" s="54">
        <f t="shared" si="0"/>
        <v>1.5</v>
      </c>
      <c r="K28" s="53" t="s">
        <v>182</v>
      </c>
    </row>
    <row r="29" spans="1:11" x14ac:dyDescent="0.3">
      <c r="A29" s="59"/>
      <c r="B29" s="59"/>
      <c r="C29" s="59"/>
      <c r="D29" s="59"/>
      <c r="E29">
        <v>17</v>
      </c>
      <c r="F29" s="53" t="s">
        <v>183</v>
      </c>
      <c r="G29" s="54">
        <v>2</v>
      </c>
      <c r="H29" s="53" t="s">
        <v>145</v>
      </c>
      <c r="I29" s="54">
        <v>1</v>
      </c>
      <c r="J29" s="54">
        <f t="shared" si="0"/>
        <v>2</v>
      </c>
      <c r="K29" s="53" t="s">
        <v>184</v>
      </c>
    </row>
    <row r="30" spans="1:11" x14ac:dyDescent="0.3">
      <c r="A30" s="59"/>
      <c r="B30" s="59"/>
      <c r="C30" s="59"/>
      <c r="D30" s="59"/>
      <c r="E30">
        <v>18</v>
      </c>
      <c r="F30" s="53" t="s">
        <v>185</v>
      </c>
      <c r="G30" s="54">
        <v>2</v>
      </c>
      <c r="H30" s="53" t="s">
        <v>145</v>
      </c>
      <c r="I30" s="54">
        <v>1.5</v>
      </c>
      <c r="J30" s="54">
        <f t="shared" si="0"/>
        <v>3</v>
      </c>
      <c r="K30" s="53" t="s">
        <v>184</v>
      </c>
    </row>
    <row r="31" spans="1:11" x14ac:dyDescent="0.3">
      <c r="A31" s="59"/>
      <c r="B31" s="59"/>
      <c r="C31" s="59"/>
      <c r="D31" s="59"/>
      <c r="E31">
        <v>19</v>
      </c>
      <c r="F31" s="53" t="s">
        <v>186</v>
      </c>
      <c r="G31" s="54">
        <v>1</v>
      </c>
      <c r="H31" s="53" t="s">
        <v>145</v>
      </c>
      <c r="I31" s="54">
        <v>2</v>
      </c>
      <c r="J31" s="54">
        <f t="shared" si="0"/>
        <v>2</v>
      </c>
      <c r="K31" s="53" t="s">
        <v>187</v>
      </c>
    </row>
    <row r="32" spans="1:11" x14ac:dyDescent="0.3">
      <c r="A32" s="51"/>
      <c r="B32" s="52"/>
      <c r="C32" s="51"/>
      <c r="D32" s="52"/>
      <c r="E32">
        <v>20</v>
      </c>
      <c r="F32" s="53" t="s">
        <v>188</v>
      </c>
      <c r="G32" s="54">
        <v>1</v>
      </c>
      <c r="H32" s="53" t="s">
        <v>145</v>
      </c>
      <c r="I32" s="54">
        <v>1</v>
      </c>
      <c r="J32" s="54">
        <f t="shared" si="0"/>
        <v>1</v>
      </c>
      <c r="K32" s="53" t="s">
        <v>189</v>
      </c>
    </row>
    <row r="33" spans="1:12" x14ac:dyDescent="0.3">
      <c r="A33" s="53"/>
      <c r="B33" s="54"/>
      <c r="C33" s="53"/>
      <c r="D33" s="54"/>
      <c r="E33">
        <v>21</v>
      </c>
      <c r="F33" s="53" t="s">
        <v>190</v>
      </c>
      <c r="G33" s="54">
        <v>1</v>
      </c>
      <c r="H33" s="53" t="s">
        <v>145</v>
      </c>
      <c r="I33" s="54">
        <v>1</v>
      </c>
      <c r="J33" s="54">
        <f t="shared" si="0"/>
        <v>1</v>
      </c>
      <c r="K33" s="53" t="s">
        <v>191</v>
      </c>
    </row>
    <row r="34" spans="1:12" x14ac:dyDescent="0.3">
      <c r="A34" s="53"/>
      <c r="B34" s="54"/>
      <c r="C34" s="53"/>
      <c r="D34" s="54"/>
      <c r="E34">
        <v>22</v>
      </c>
      <c r="F34" s="53" t="s">
        <v>192</v>
      </c>
      <c r="G34" s="54">
        <v>2</v>
      </c>
      <c r="H34" s="53" t="s">
        <v>145</v>
      </c>
      <c r="I34" s="54">
        <v>2</v>
      </c>
      <c r="J34" s="54">
        <f t="shared" si="0"/>
        <v>4</v>
      </c>
      <c r="K34" s="53" t="s">
        <v>193</v>
      </c>
    </row>
    <row r="35" spans="1:12" x14ac:dyDescent="0.3">
      <c r="A35" s="53"/>
      <c r="B35" s="54"/>
      <c r="C35" s="53"/>
      <c r="D35" s="54"/>
      <c r="E35">
        <v>23</v>
      </c>
      <c r="F35" s="53" t="s">
        <v>194</v>
      </c>
      <c r="G35" s="54">
        <v>1</v>
      </c>
      <c r="H35" s="53" t="s">
        <v>146</v>
      </c>
      <c r="I35" s="54">
        <v>4</v>
      </c>
      <c r="J35" s="54">
        <f t="shared" si="0"/>
        <v>4</v>
      </c>
      <c r="K35" s="53" t="s">
        <v>195</v>
      </c>
    </row>
    <row r="36" spans="1:12" x14ac:dyDescent="0.3">
      <c r="A36" s="53"/>
      <c r="B36" s="54"/>
      <c r="C36" s="53"/>
      <c r="D36" s="54"/>
      <c r="E36">
        <v>24</v>
      </c>
      <c r="F36" s="53" t="s">
        <v>196</v>
      </c>
      <c r="G36" s="54">
        <v>1</v>
      </c>
      <c r="H36" s="53" t="s">
        <v>146</v>
      </c>
      <c r="I36" s="54">
        <v>4</v>
      </c>
      <c r="J36" s="54">
        <f t="shared" si="0"/>
        <v>4</v>
      </c>
      <c r="K36" s="53" t="s">
        <v>197</v>
      </c>
    </row>
    <row r="37" spans="1:12" x14ac:dyDescent="0.3">
      <c r="A37" s="53"/>
      <c r="B37" s="54"/>
      <c r="C37" s="53"/>
      <c r="D37" s="54"/>
      <c r="E37">
        <v>25</v>
      </c>
      <c r="F37" s="53" t="s">
        <v>198</v>
      </c>
      <c r="G37" s="54">
        <v>1</v>
      </c>
      <c r="H37" s="53" t="s">
        <v>145</v>
      </c>
      <c r="I37" s="54">
        <v>3</v>
      </c>
      <c r="J37" s="54">
        <f t="shared" si="0"/>
        <v>3</v>
      </c>
      <c r="K37" s="53" t="s">
        <v>199</v>
      </c>
    </row>
    <row r="38" spans="1:12" x14ac:dyDescent="0.3">
      <c r="A38" s="53"/>
      <c r="B38" s="54"/>
      <c r="C38" s="53"/>
      <c r="D38" s="54"/>
      <c r="E38">
        <v>26</v>
      </c>
      <c r="F38" s="53" t="s">
        <v>200</v>
      </c>
      <c r="G38" s="54">
        <v>1</v>
      </c>
      <c r="H38" s="53" t="s">
        <v>146</v>
      </c>
      <c r="I38" s="54">
        <v>2</v>
      </c>
      <c r="J38" s="54">
        <f t="shared" si="0"/>
        <v>2</v>
      </c>
      <c r="K38" s="53" t="s">
        <v>201</v>
      </c>
    </row>
    <row r="39" spans="1:12" x14ac:dyDescent="0.3">
      <c r="A39" s="53"/>
      <c r="B39" s="54"/>
      <c r="C39" s="53"/>
      <c r="D39" s="54"/>
      <c r="E39">
        <v>27</v>
      </c>
      <c r="F39" s="53" t="s">
        <v>202</v>
      </c>
      <c r="G39" s="54">
        <v>1</v>
      </c>
      <c r="H39" s="53" t="s">
        <v>146</v>
      </c>
      <c r="I39" s="54">
        <v>1</v>
      </c>
      <c r="J39" s="54">
        <f t="shared" si="0"/>
        <v>1</v>
      </c>
      <c r="K39" s="53" t="s">
        <v>203</v>
      </c>
    </row>
    <row r="40" spans="1:12" x14ac:dyDescent="0.3">
      <c r="A40" s="53"/>
      <c r="B40" s="54"/>
      <c r="C40" s="53"/>
      <c r="D40" s="54"/>
      <c r="E40">
        <v>28</v>
      </c>
      <c r="F40" s="53" t="s">
        <v>204</v>
      </c>
      <c r="G40" s="54">
        <v>2</v>
      </c>
      <c r="H40" s="53" t="s">
        <v>145</v>
      </c>
      <c r="I40" s="54">
        <v>1</v>
      </c>
      <c r="J40" s="54">
        <f t="shared" si="0"/>
        <v>2</v>
      </c>
      <c r="K40" s="53" t="s">
        <v>205</v>
      </c>
    </row>
    <row r="41" spans="1:12" x14ac:dyDescent="0.3">
      <c r="A41" s="53"/>
      <c r="B41" s="54"/>
      <c r="C41" s="53"/>
      <c r="D41" s="54"/>
      <c r="E41">
        <v>29</v>
      </c>
      <c r="F41" s="53" t="s">
        <v>206</v>
      </c>
      <c r="G41" s="54">
        <v>1</v>
      </c>
      <c r="H41" s="53" t="s">
        <v>145</v>
      </c>
      <c r="I41" s="54">
        <v>1</v>
      </c>
      <c r="J41" s="54">
        <f t="shared" si="0"/>
        <v>1</v>
      </c>
      <c r="K41" s="53" t="s">
        <v>205</v>
      </c>
    </row>
    <row r="42" spans="1:12" x14ac:dyDescent="0.3">
      <c r="A42" s="53"/>
      <c r="B42" s="54"/>
      <c r="C42" s="53"/>
      <c r="D42" s="54"/>
      <c r="E42">
        <v>30</v>
      </c>
      <c r="F42" s="53" t="s">
        <v>207</v>
      </c>
      <c r="G42" s="54">
        <v>2</v>
      </c>
      <c r="H42" s="53" t="s">
        <v>145</v>
      </c>
      <c r="I42" s="54">
        <v>1</v>
      </c>
      <c r="J42" s="54">
        <f t="shared" si="0"/>
        <v>2</v>
      </c>
      <c r="K42" s="53" t="s">
        <v>205</v>
      </c>
    </row>
    <row r="43" spans="1:12" x14ac:dyDescent="0.3">
      <c r="A43" s="53"/>
      <c r="B43" s="54"/>
      <c r="C43" s="53"/>
      <c r="D43" s="54"/>
      <c r="F43" s="17" t="s">
        <v>80</v>
      </c>
      <c r="I43">
        <f>SUM(I13:I42)</f>
        <v>189</v>
      </c>
      <c r="J43">
        <f>SUM(J13:J42)</f>
        <v>195.5</v>
      </c>
    </row>
    <row r="44" spans="1:12" x14ac:dyDescent="0.3">
      <c r="A44" s="53"/>
      <c r="B44" s="54"/>
      <c r="C44" s="53"/>
      <c r="D44" s="54"/>
      <c r="F44" s="27" t="s">
        <v>81</v>
      </c>
      <c r="J44" s="54">
        <f>J43*0.02</f>
        <v>3.91</v>
      </c>
      <c r="K44" s="53" t="s">
        <v>209</v>
      </c>
      <c r="L44">
        <f>J44*300</f>
        <v>1173</v>
      </c>
    </row>
    <row r="45" spans="1:12" x14ac:dyDescent="0.3">
      <c r="A45" s="53"/>
      <c r="B45" s="54"/>
      <c r="C45" s="53"/>
      <c r="D45" s="54"/>
      <c r="F45" s="28" t="s">
        <v>82</v>
      </c>
      <c r="J45">
        <f>J43-J44</f>
        <v>191.59</v>
      </c>
      <c r="L45">
        <f>J45*150000</f>
        <v>28738500</v>
      </c>
    </row>
    <row r="46" spans="1:12" x14ac:dyDescent="0.3">
      <c r="A46" s="53"/>
      <c r="B46" s="54"/>
      <c r="C46" s="53"/>
      <c r="D46" s="54"/>
    </row>
    <row r="47" spans="1:12" x14ac:dyDescent="0.3">
      <c r="A47" s="53"/>
      <c r="B47" s="54"/>
      <c r="C47" s="53"/>
      <c r="D47" s="54"/>
    </row>
    <row r="48" spans="1:12" x14ac:dyDescent="0.3">
      <c r="A48" s="53"/>
      <c r="B48" s="54"/>
      <c r="C48" s="53"/>
      <c r="D48" s="54"/>
      <c r="F48" s="44" t="s">
        <v>83</v>
      </c>
      <c r="G48" s="45"/>
      <c r="H48" s="45"/>
    </row>
    <row r="49" spans="1:8" x14ac:dyDescent="0.3">
      <c r="A49" s="53"/>
      <c r="B49" s="54"/>
      <c r="C49" s="53"/>
      <c r="D49" s="54"/>
      <c r="F49" s="88" t="s">
        <v>314</v>
      </c>
      <c r="G49" s="93" t="s">
        <v>309</v>
      </c>
    </row>
    <row r="50" spans="1:8" x14ac:dyDescent="0.3">
      <c r="A50" s="53"/>
      <c r="B50" s="54"/>
      <c r="C50" s="53"/>
      <c r="D50" s="54"/>
      <c r="F50" t="s">
        <v>43</v>
      </c>
      <c r="G50">
        <v>10</v>
      </c>
      <c r="H50" t="s">
        <v>84</v>
      </c>
    </row>
    <row r="51" spans="1:8" x14ac:dyDescent="0.3">
      <c r="A51" s="53"/>
      <c r="B51" s="54"/>
      <c r="C51" s="53"/>
      <c r="D51" s="54"/>
      <c r="F51" t="s">
        <v>85</v>
      </c>
      <c r="G51">
        <v>16</v>
      </c>
      <c r="H51" t="s">
        <v>86</v>
      </c>
    </row>
    <row r="52" spans="1:8" x14ac:dyDescent="0.3">
      <c r="A52" s="53"/>
      <c r="B52" s="54"/>
      <c r="C52" s="53"/>
      <c r="D52" s="54"/>
      <c r="F52" t="s">
        <v>87</v>
      </c>
      <c r="G52" s="60">
        <v>81.3</v>
      </c>
      <c r="H52" t="s">
        <v>88</v>
      </c>
    </row>
    <row r="53" spans="1:8" x14ac:dyDescent="0.3">
      <c r="A53" s="53"/>
      <c r="B53" s="54"/>
      <c r="C53" s="53"/>
      <c r="D53" s="54"/>
      <c r="F53" t="s">
        <v>89</v>
      </c>
      <c r="G53" s="26">
        <f>G50*8*G52</f>
        <v>6504</v>
      </c>
    </row>
    <row r="54" spans="1:8" x14ac:dyDescent="0.3">
      <c r="A54" s="53"/>
      <c r="B54" s="54"/>
      <c r="C54" s="53"/>
      <c r="D54" s="54"/>
      <c r="F54" t="s">
        <v>52</v>
      </c>
      <c r="G54" s="4">
        <f>G53*300</f>
        <v>1951200</v>
      </c>
    </row>
    <row r="55" spans="1:8" x14ac:dyDescent="0.3">
      <c r="A55" s="53"/>
      <c r="B55" s="54"/>
      <c r="C55" s="53"/>
      <c r="D55" s="54"/>
      <c r="F55" t="s">
        <v>90</v>
      </c>
      <c r="G55" s="30">
        <v>2.0249999999999999</v>
      </c>
      <c r="H55" t="s">
        <v>91</v>
      </c>
    </row>
    <row r="56" spans="1:8" x14ac:dyDescent="0.3">
      <c r="A56" s="53"/>
      <c r="B56" s="54"/>
      <c r="C56" s="53"/>
      <c r="D56" s="54"/>
      <c r="F56" s="17" t="s">
        <v>54</v>
      </c>
      <c r="G56" s="31">
        <f>G52*(G55/60)</f>
        <v>2.7438749999999996</v>
      </c>
    </row>
    <row r="57" spans="1:8" x14ac:dyDescent="0.3">
      <c r="A57" s="53"/>
      <c r="B57" s="54"/>
      <c r="C57" s="53"/>
      <c r="D57" s="54"/>
    </row>
    <row r="58" spans="1:8" x14ac:dyDescent="0.3">
      <c r="A58" s="53"/>
      <c r="B58" s="54"/>
      <c r="C58" s="53"/>
      <c r="D58" s="54"/>
    </row>
    <row r="59" spans="1:8" x14ac:dyDescent="0.3">
      <c r="A59" s="53"/>
      <c r="B59" s="54"/>
      <c r="C59" s="53"/>
      <c r="D59" s="54"/>
      <c r="F59" s="44" t="s">
        <v>92</v>
      </c>
      <c r="G59" s="45"/>
      <c r="H59" s="45"/>
    </row>
    <row r="60" spans="1:8" x14ac:dyDescent="0.3">
      <c r="A60" s="53"/>
      <c r="B60" s="54"/>
      <c r="C60" s="53"/>
      <c r="D60" s="54"/>
      <c r="F60" s="88" t="s">
        <v>120</v>
      </c>
      <c r="G60" s="93" t="s">
        <v>309</v>
      </c>
    </row>
    <row r="61" spans="1:8" x14ac:dyDescent="0.3">
      <c r="A61" s="53"/>
      <c r="B61" s="54"/>
      <c r="C61" s="53"/>
      <c r="D61" s="54"/>
      <c r="F61" t="s">
        <v>93</v>
      </c>
      <c r="G61" s="32">
        <v>2000</v>
      </c>
      <c r="H61" t="s">
        <v>231</v>
      </c>
    </row>
    <row r="62" spans="1:8" x14ac:dyDescent="0.3">
      <c r="A62" s="53"/>
      <c r="B62" s="54"/>
      <c r="C62" s="53"/>
      <c r="D62" s="54"/>
      <c r="F62" t="s">
        <v>94</v>
      </c>
      <c r="G62" s="4">
        <f>G61*300</f>
        <v>600000</v>
      </c>
    </row>
    <row r="63" spans="1:8" x14ac:dyDescent="0.3">
      <c r="A63" s="53"/>
      <c r="B63" s="54"/>
      <c r="C63" s="53"/>
      <c r="D63" s="54"/>
      <c r="F63" s="94" t="s">
        <v>95</v>
      </c>
      <c r="G63" s="89">
        <f>G62/150000</f>
        <v>4</v>
      </c>
    </row>
    <row r="64" spans="1:8" x14ac:dyDescent="0.3">
      <c r="A64" s="53"/>
      <c r="B64" s="54"/>
      <c r="C64" s="53"/>
      <c r="D64" s="54"/>
      <c r="F64" t="s">
        <v>232</v>
      </c>
      <c r="G64" s="30">
        <f>C24</f>
        <v>0.51746666666666663</v>
      </c>
    </row>
    <row r="65" spans="6:8" ht="15.6" x14ac:dyDescent="0.3">
      <c r="F65" s="33" t="s">
        <v>96</v>
      </c>
      <c r="G65" s="34">
        <f>J45+G56+G63+G64</f>
        <v>198.85134166666668</v>
      </c>
    </row>
    <row r="68" spans="6:8" x14ac:dyDescent="0.3">
      <c r="F68" s="44" t="s">
        <v>97</v>
      </c>
      <c r="G68" s="45"/>
      <c r="H68" s="45"/>
    </row>
    <row r="69" spans="6:8" x14ac:dyDescent="0.3">
      <c r="F69" t="s">
        <v>98</v>
      </c>
      <c r="G69" s="35">
        <v>230</v>
      </c>
    </row>
    <row r="70" spans="6:8" x14ac:dyDescent="0.3">
      <c r="F70" t="s">
        <v>99</v>
      </c>
      <c r="G70" s="26">
        <f>G65</f>
        <v>198.85134166666668</v>
      </c>
    </row>
    <row r="71" spans="6:8" ht="15.6" x14ac:dyDescent="0.3">
      <c r="F71" s="17" t="s">
        <v>100</v>
      </c>
      <c r="G71" s="36">
        <f>G69-G70</f>
        <v>31.148658333333316</v>
      </c>
    </row>
    <row r="72" spans="6:8" x14ac:dyDescent="0.3">
      <c r="F72" s="17" t="s">
        <v>101</v>
      </c>
      <c r="G72" s="37">
        <f>G71/G69</f>
        <v>0.13542894927536225</v>
      </c>
    </row>
    <row r="74" spans="6:8" x14ac:dyDescent="0.3">
      <c r="F74" s="38" t="s">
        <v>102</v>
      </c>
    </row>
    <row r="75" spans="6:8" x14ac:dyDescent="0.3">
      <c r="F75" t="s">
        <v>103</v>
      </c>
      <c r="G75" s="2">
        <f>G69*150000</f>
        <v>34500000</v>
      </c>
    </row>
    <row r="76" spans="6:8" x14ac:dyDescent="0.3">
      <c r="F76" t="s">
        <v>104</v>
      </c>
      <c r="G76" s="4">
        <f>G70*150000</f>
        <v>29827701.250000004</v>
      </c>
    </row>
    <row r="77" spans="6:8" ht="15.6" x14ac:dyDescent="0.3">
      <c r="F77" s="39" t="s">
        <v>105</v>
      </c>
      <c r="G77" s="40">
        <f>G75-G76</f>
        <v>4672298.7499999963</v>
      </c>
    </row>
    <row r="78" spans="6:8" x14ac:dyDescent="0.3">
      <c r="F78" t="s">
        <v>106</v>
      </c>
      <c r="G78" s="2">
        <f>G77/12</f>
        <v>389358.22916666634</v>
      </c>
    </row>
    <row r="79" spans="6:8" x14ac:dyDescent="0.3">
      <c r="F79" t="s">
        <v>107</v>
      </c>
      <c r="G79" s="2">
        <f>G77/300</f>
        <v>15574.329166666654</v>
      </c>
    </row>
  </sheetData>
  <mergeCells count="6">
    <mergeCell ref="F48:H48"/>
    <mergeCell ref="F59:H59"/>
    <mergeCell ref="F68:H68"/>
    <mergeCell ref="A1:D1"/>
    <mergeCell ref="A25:D25"/>
    <mergeCell ref="A11:D11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9"/>
  <sheetViews>
    <sheetView tabSelected="1" topLeftCell="A11" zoomScale="80" zoomScaleNormal="80" workbookViewId="0">
      <selection activeCell="G22" sqref="G22"/>
    </sheetView>
  </sheetViews>
  <sheetFormatPr defaultRowHeight="14.4" x14ac:dyDescent="0.3"/>
  <cols>
    <col min="1" max="1" width="40" customWidth="1"/>
    <col min="2" max="2" width="26.44140625" customWidth="1"/>
    <col min="3" max="3" width="25" customWidth="1"/>
    <col min="7" max="7" width="34.5546875" customWidth="1"/>
    <col min="8" max="8" width="25.109375" customWidth="1"/>
    <col min="9" max="9" width="40.5546875" customWidth="1"/>
  </cols>
  <sheetData>
    <row r="1" spans="1:9" ht="18" x14ac:dyDescent="0.35">
      <c r="A1" s="46" t="s">
        <v>108</v>
      </c>
      <c r="B1" s="45"/>
      <c r="C1" s="45"/>
    </row>
    <row r="2" spans="1:9" x14ac:dyDescent="0.3">
      <c r="A2" s="47" t="s">
        <v>109</v>
      </c>
      <c r="B2" s="45"/>
      <c r="C2" s="45"/>
    </row>
    <row r="4" spans="1:9" x14ac:dyDescent="0.3">
      <c r="A4" s="44" t="s">
        <v>110</v>
      </c>
      <c r="B4" s="45"/>
      <c r="C4" s="45"/>
    </row>
    <row r="5" spans="1:9" x14ac:dyDescent="0.3">
      <c r="A5" s="91" t="s">
        <v>281</v>
      </c>
      <c r="B5" s="91" t="s">
        <v>282</v>
      </c>
      <c r="C5" s="91" t="s">
        <v>78</v>
      </c>
    </row>
    <row r="6" spans="1:9" x14ac:dyDescent="0.3">
      <c r="A6" s="53" t="s">
        <v>250</v>
      </c>
      <c r="B6" s="53" t="s">
        <v>233</v>
      </c>
      <c r="C6" s="53">
        <f>F6*4</f>
        <v>2979760</v>
      </c>
      <c r="F6">
        <v>744940</v>
      </c>
      <c r="G6" s="64" t="s">
        <v>210</v>
      </c>
    </row>
    <row r="7" spans="1:9" ht="28.8" x14ac:dyDescent="0.3">
      <c r="A7" s="53" t="s">
        <v>234</v>
      </c>
      <c r="B7" s="53" t="s">
        <v>235</v>
      </c>
      <c r="C7" s="53">
        <f>F7*8</f>
        <v>170584</v>
      </c>
      <c r="F7">
        <v>21323</v>
      </c>
      <c r="G7" t="s">
        <v>253</v>
      </c>
    </row>
    <row r="8" spans="1:9" x14ac:dyDescent="0.3">
      <c r="A8" s="53" t="s">
        <v>236</v>
      </c>
      <c r="B8" s="53" t="s">
        <v>237</v>
      </c>
      <c r="C8" s="53">
        <f>F8*6</f>
        <v>55200</v>
      </c>
      <c r="F8">
        <v>9200</v>
      </c>
      <c r="G8" t="s">
        <v>254</v>
      </c>
    </row>
    <row r="9" spans="1:9" x14ac:dyDescent="0.3">
      <c r="A9" s="53" t="s">
        <v>238</v>
      </c>
      <c r="B9" s="53" t="s">
        <v>239</v>
      </c>
      <c r="C9" s="53">
        <f>F9*4</f>
        <v>744900</v>
      </c>
      <c r="F9">
        <v>186225</v>
      </c>
      <c r="G9" t="s">
        <v>256</v>
      </c>
    </row>
    <row r="10" spans="1:9" x14ac:dyDescent="0.3">
      <c r="A10" s="53" t="s">
        <v>240</v>
      </c>
      <c r="B10" s="53" t="s">
        <v>241</v>
      </c>
      <c r="C10" s="53">
        <f>F10*5</f>
        <v>24625</v>
      </c>
      <c r="F10">
        <v>4925</v>
      </c>
      <c r="G10" t="s">
        <v>255</v>
      </c>
    </row>
    <row r="11" spans="1:9" ht="28.8" x14ac:dyDescent="0.3">
      <c r="A11" s="53" t="s">
        <v>242</v>
      </c>
      <c r="B11" s="53" t="s">
        <v>243</v>
      </c>
      <c r="C11" s="53">
        <f>F11*2</f>
        <v>251062</v>
      </c>
      <c r="F11" s="4">
        <v>125531</v>
      </c>
    </row>
    <row r="12" spans="1:9" ht="28.8" x14ac:dyDescent="0.3">
      <c r="A12" s="53" t="s">
        <v>244</v>
      </c>
      <c r="B12" s="53" t="s">
        <v>245</v>
      </c>
      <c r="C12" s="53">
        <v>575000</v>
      </c>
      <c r="G12" s="53"/>
      <c r="H12" s="53"/>
      <c r="I12" s="53"/>
    </row>
    <row r="13" spans="1:9" x14ac:dyDescent="0.3">
      <c r="A13" s="53" t="s">
        <v>246</v>
      </c>
      <c r="B13" s="53" t="s">
        <v>247</v>
      </c>
      <c r="C13" s="53">
        <v>935000</v>
      </c>
      <c r="G13" s="53"/>
      <c r="H13" s="53"/>
      <c r="I13" s="53"/>
    </row>
    <row r="14" spans="1:9" ht="28.8" x14ac:dyDescent="0.3">
      <c r="A14" s="53" t="s">
        <v>258</v>
      </c>
      <c r="B14" s="53" t="s">
        <v>259</v>
      </c>
      <c r="C14" s="53">
        <v>1035000</v>
      </c>
      <c r="G14" s="53"/>
      <c r="H14" s="53"/>
      <c r="I14" s="53"/>
    </row>
    <row r="15" spans="1:9" x14ac:dyDescent="0.3">
      <c r="A15" s="53" t="s">
        <v>248</v>
      </c>
      <c r="B15" s="53" t="s">
        <v>249</v>
      </c>
      <c r="C15" s="53">
        <v>887500</v>
      </c>
      <c r="G15" s="53"/>
      <c r="H15" s="53"/>
      <c r="I15" s="53"/>
    </row>
    <row r="16" spans="1:9" x14ac:dyDescent="0.3">
      <c r="A16" s="95" t="s">
        <v>280</v>
      </c>
      <c r="C16">
        <v>7658631</v>
      </c>
      <c r="G16" s="53"/>
      <c r="H16" s="53"/>
      <c r="I16" s="53"/>
    </row>
    <row r="17" spans="1:9" x14ac:dyDescent="0.3">
      <c r="A17" s="95" t="s">
        <v>312</v>
      </c>
      <c r="C17">
        <f>C16/5</f>
        <v>1531726.2</v>
      </c>
      <c r="D17" t="s">
        <v>229</v>
      </c>
      <c r="G17" s="53"/>
      <c r="H17" s="53"/>
      <c r="I17" s="53"/>
    </row>
    <row r="19" spans="1:9" x14ac:dyDescent="0.3">
      <c r="A19" s="44" t="s">
        <v>111</v>
      </c>
      <c r="B19" s="45"/>
      <c r="C19" s="45"/>
    </row>
    <row r="20" spans="1:9" x14ac:dyDescent="0.3">
      <c r="A20" s="86" t="s">
        <v>120</v>
      </c>
      <c r="B20" s="87" t="s">
        <v>309</v>
      </c>
      <c r="C20" s="87" t="s">
        <v>79</v>
      </c>
    </row>
    <row r="21" spans="1:9" x14ac:dyDescent="0.3">
      <c r="A21" t="s">
        <v>112</v>
      </c>
      <c r="B21" s="62">
        <f>C17*15%</f>
        <v>229758.93</v>
      </c>
      <c r="C21" t="s">
        <v>257</v>
      </c>
    </row>
    <row r="22" spans="1:9" x14ac:dyDescent="0.3">
      <c r="A22" t="s">
        <v>113</v>
      </c>
      <c r="B22" s="62">
        <f>2*2*8*300*81.3</f>
        <v>780480</v>
      </c>
      <c r="C22" t="s">
        <v>114</v>
      </c>
    </row>
    <row r="23" spans="1:9" x14ac:dyDescent="0.3">
      <c r="A23" s="17" t="s">
        <v>251</v>
      </c>
      <c r="B23" s="59">
        <f>191.59*150000</f>
        <v>28738500</v>
      </c>
      <c r="C23" t="s">
        <v>294</v>
      </c>
    </row>
    <row r="24" spans="1:9" x14ac:dyDescent="0.3">
      <c r="A24" t="s">
        <v>252</v>
      </c>
      <c r="B24" s="62">
        <v>300000</v>
      </c>
    </row>
    <row r="25" spans="1:9" x14ac:dyDescent="0.3">
      <c r="A25" t="s">
        <v>318</v>
      </c>
      <c r="B25" s="62">
        <f>SUM(B21:B24)</f>
        <v>30048738.93</v>
      </c>
    </row>
    <row r="26" spans="1:9" x14ac:dyDescent="0.3">
      <c r="A26" s="17" t="s">
        <v>115</v>
      </c>
      <c r="B26" s="41">
        <f>SUM(B21:B24)+C17</f>
        <v>31580465.129999999</v>
      </c>
    </row>
    <row r="28" spans="1:9" x14ac:dyDescent="0.3">
      <c r="A28" s="17" t="s">
        <v>116</v>
      </c>
      <c r="B28" s="29">
        <f>B26/150000</f>
        <v>210.5364342</v>
      </c>
    </row>
    <row r="30" spans="1:9" x14ac:dyDescent="0.3">
      <c r="A30" s="44" t="s">
        <v>97</v>
      </c>
      <c r="B30" s="45"/>
      <c r="C30" s="45"/>
    </row>
    <row r="31" spans="1:9" x14ac:dyDescent="0.3">
      <c r="A31" t="s">
        <v>98</v>
      </c>
      <c r="B31" s="26">
        <v>230</v>
      </c>
    </row>
    <row r="32" spans="1:9" x14ac:dyDescent="0.3">
      <c r="A32" t="s">
        <v>117</v>
      </c>
      <c r="B32" s="26">
        <f>B26/150000</f>
        <v>210.5364342</v>
      </c>
    </row>
    <row r="33" spans="1:2" x14ac:dyDescent="0.3">
      <c r="A33" s="17" t="s">
        <v>100</v>
      </c>
      <c r="B33" s="42">
        <f>B31-B32</f>
        <v>19.463565799999998</v>
      </c>
    </row>
    <row r="34" spans="1:2" x14ac:dyDescent="0.3">
      <c r="A34" s="17" t="s">
        <v>118</v>
      </c>
      <c r="B34" s="43">
        <f>B33*150000</f>
        <v>2919534.8699999996</v>
      </c>
    </row>
    <row r="40" spans="1:2" ht="28.8" x14ac:dyDescent="0.3">
      <c r="A40" s="81" t="s">
        <v>260</v>
      </c>
      <c r="B40" s="82" t="s">
        <v>261</v>
      </c>
    </row>
    <row r="41" spans="1:2" x14ac:dyDescent="0.3">
      <c r="A41" s="81" t="s">
        <v>262</v>
      </c>
      <c r="B41" s="82" t="s">
        <v>263</v>
      </c>
    </row>
    <row r="42" spans="1:2" x14ac:dyDescent="0.3">
      <c r="A42" s="81" t="s">
        <v>264</v>
      </c>
      <c r="B42" s="82" t="s">
        <v>265</v>
      </c>
    </row>
    <row r="43" spans="1:2" x14ac:dyDescent="0.3">
      <c r="A43" s="81" t="s">
        <v>266</v>
      </c>
      <c r="B43" s="82" t="s">
        <v>267</v>
      </c>
    </row>
    <row r="44" spans="1:2" x14ac:dyDescent="0.3">
      <c r="A44" s="81" t="s">
        <v>268</v>
      </c>
      <c r="B44" s="82" t="s">
        <v>269</v>
      </c>
    </row>
    <row r="45" spans="1:2" x14ac:dyDescent="0.3">
      <c r="A45" s="81" t="s">
        <v>270</v>
      </c>
      <c r="B45" s="82" t="s">
        <v>271</v>
      </c>
    </row>
    <row r="46" spans="1:2" x14ac:dyDescent="0.3">
      <c r="A46" s="81" t="s">
        <v>272</v>
      </c>
      <c r="B46" s="82" t="s">
        <v>273</v>
      </c>
    </row>
    <row r="47" spans="1:2" x14ac:dyDescent="0.3">
      <c r="A47" s="81" t="s">
        <v>274</v>
      </c>
      <c r="B47" s="82" t="s">
        <v>275</v>
      </c>
    </row>
    <row r="48" spans="1:2" x14ac:dyDescent="0.3">
      <c r="A48" s="81" t="s">
        <v>276</v>
      </c>
      <c r="B48" s="82" t="s">
        <v>277</v>
      </c>
    </row>
    <row r="49" spans="1:2" x14ac:dyDescent="0.3">
      <c r="A49" s="81" t="s">
        <v>278</v>
      </c>
      <c r="B49" s="82" t="s">
        <v>279</v>
      </c>
    </row>
  </sheetData>
  <mergeCells count="5">
    <mergeCell ref="A1:C1"/>
    <mergeCell ref="A30:C30"/>
    <mergeCell ref="A19:C19"/>
    <mergeCell ref="A4:C4"/>
    <mergeCell ref="A2:C2"/>
  </mergeCells>
  <hyperlinks>
    <hyperlink ref="G6" r:id="rId1" xr:uid="{5D0589EE-C91B-4530-86C4-A5164B6B55D9}"/>
  </hyperlinks>
  <pageMargins left="0.75" right="0.75" top="1" bottom="1" header="0.5" footer="0.5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7"/>
  <sheetViews>
    <sheetView zoomScale="90" zoomScaleNormal="90" workbookViewId="0">
      <selection activeCell="A14" sqref="A14:C19"/>
    </sheetView>
  </sheetViews>
  <sheetFormatPr defaultRowHeight="14.4" x14ac:dyDescent="0.3"/>
  <cols>
    <col min="1" max="1" width="35" customWidth="1"/>
    <col min="2" max="3" width="20" customWidth="1"/>
    <col min="4" max="4" width="13" customWidth="1"/>
    <col min="6" max="6" width="19.5546875" customWidth="1"/>
    <col min="7" max="7" width="17.33203125" customWidth="1"/>
    <col min="8" max="8" width="17.88671875" customWidth="1"/>
  </cols>
  <sheetData>
    <row r="1" spans="1:8" ht="18" x14ac:dyDescent="0.35">
      <c r="A1" s="46" t="s">
        <v>119</v>
      </c>
      <c r="B1" s="45"/>
      <c r="C1" s="45"/>
    </row>
    <row r="3" spans="1:8" x14ac:dyDescent="0.3">
      <c r="A3" s="16" t="s">
        <v>120</v>
      </c>
      <c r="B3" s="16" t="s">
        <v>121</v>
      </c>
      <c r="C3" s="16" t="s">
        <v>122</v>
      </c>
      <c r="F3" s="96" t="s">
        <v>283</v>
      </c>
      <c r="G3" s="96" t="s">
        <v>121</v>
      </c>
      <c r="H3" s="96" t="s">
        <v>284</v>
      </c>
    </row>
    <row r="4" spans="1:8" x14ac:dyDescent="0.3">
      <c r="A4" s="48" t="s">
        <v>123</v>
      </c>
      <c r="B4" s="45"/>
      <c r="C4" s="45"/>
      <c r="F4" s="55" t="s">
        <v>285</v>
      </c>
      <c r="G4" s="56">
        <v>77620</v>
      </c>
      <c r="H4" s="56">
        <v>7658631</v>
      </c>
    </row>
    <row r="5" spans="1:8" x14ac:dyDescent="0.3">
      <c r="A5" t="s">
        <v>124</v>
      </c>
      <c r="B5" s="65">
        <v>198.85134166666668</v>
      </c>
      <c r="C5" s="65">
        <v>210.5364342</v>
      </c>
      <c r="F5" s="55" t="s">
        <v>286</v>
      </c>
      <c r="G5" s="56">
        <v>4672298.7499999963</v>
      </c>
      <c r="H5" s="56">
        <v>2919534.8699999996</v>
      </c>
    </row>
    <row r="6" spans="1:8" x14ac:dyDescent="0.3">
      <c r="A6" t="s">
        <v>125</v>
      </c>
      <c r="B6" s="65">
        <f>230-B5</f>
        <v>31.148658333333316</v>
      </c>
      <c r="C6" s="65">
        <f>230-C5</f>
        <v>19.463565799999998</v>
      </c>
      <c r="F6" s="55" t="s">
        <v>287</v>
      </c>
      <c r="G6" s="56">
        <v>300</v>
      </c>
      <c r="H6" s="56">
        <v>250</v>
      </c>
    </row>
    <row r="7" spans="1:8" x14ac:dyDescent="0.3">
      <c r="A7" t="s">
        <v>126</v>
      </c>
      <c r="B7" s="56">
        <v>4672298.7499999963</v>
      </c>
      <c r="C7" s="56">
        <v>2919534.8699999996</v>
      </c>
      <c r="F7" s="55" t="s">
        <v>288</v>
      </c>
      <c r="G7" s="55"/>
      <c r="H7" s="55"/>
    </row>
    <row r="8" spans="1:8" x14ac:dyDescent="0.3">
      <c r="F8" s="67" t="s">
        <v>289</v>
      </c>
      <c r="G8" s="55"/>
      <c r="H8" s="55"/>
    </row>
    <row r="9" spans="1:8" x14ac:dyDescent="0.3">
      <c r="A9" s="48" t="s">
        <v>127</v>
      </c>
      <c r="B9" s="45"/>
      <c r="C9" s="45"/>
      <c r="F9" s="55" t="s">
        <v>290</v>
      </c>
      <c r="G9" s="78">
        <f>G5/G6</f>
        <v>15574.329166666654</v>
      </c>
      <c r="H9" s="78">
        <f>H5/H6</f>
        <v>11678.139479999998</v>
      </c>
    </row>
    <row r="10" spans="1:8" x14ac:dyDescent="0.3">
      <c r="A10" t="s">
        <v>128</v>
      </c>
      <c r="B10" s="66">
        <v>388100</v>
      </c>
      <c r="C10">
        <v>7658631</v>
      </c>
      <c r="F10" s="55" t="s">
        <v>291</v>
      </c>
      <c r="G10" s="69">
        <f>G4/G9</f>
        <v>4.9838422682196892</v>
      </c>
      <c r="H10" s="69">
        <f>H4/H9</f>
        <v>655.8091734660461</v>
      </c>
    </row>
    <row r="11" spans="1:8" x14ac:dyDescent="0.3">
      <c r="A11" t="s">
        <v>295</v>
      </c>
      <c r="B11" s="18">
        <f>G12</f>
        <v>1.365436237868408E-2</v>
      </c>
      <c r="C11" s="18">
        <f>H12</f>
        <v>1.7967374615508112</v>
      </c>
      <c r="F11" s="55" t="s">
        <v>292</v>
      </c>
      <c r="G11" s="70">
        <f>G10/30</f>
        <v>0.16612807560732298</v>
      </c>
      <c r="H11" s="70">
        <f>H10/30</f>
        <v>21.860305782201536</v>
      </c>
    </row>
    <row r="12" spans="1:8" x14ac:dyDescent="0.3">
      <c r="A12" t="s">
        <v>296</v>
      </c>
      <c r="B12" s="8">
        <f>G11</f>
        <v>0.16612807560732298</v>
      </c>
      <c r="C12" s="8">
        <f>H11</f>
        <v>21.860305782201536</v>
      </c>
      <c r="F12" s="55" t="s">
        <v>293</v>
      </c>
      <c r="G12" s="71">
        <f>G10/365</f>
        <v>1.365436237868408E-2</v>
      </c>
      <c r="H12" s="71">
        <f>H10/365</f>
        <v>1.7967374615508112</v>
      </c>
    </row>
    <row r="14" spans="1:8" x14ac:dyDescent="0.3">
      <c r="A14" s="48" t="s">
        <v>129</v>
      </c>
      <c r="B14" s="45"/>
      <c r="C14" s="45"/>
    </row>
    <row r="15" spans="1:8" x14ac:dyDescent="0.3">
      <c r="A15" t="s">
        <v>130</v>
      </c>
      <c r="B15">
        <v>10</v>
      </c>
      <c r="C15">
        <v>2</v>
      </c>
    </row>
    <row r="16" spans="1:8" x14ac:dyDescent="0.3">
      <c r="A16" t="s">
        <v>131</v>
      </c>
      <c r="B16" t="s">
        <v>132</v>
      </c>
      <c r="C16" t="s">
        <v>133</v>
      </c>
      <c r="F16" s="96" t="s">
        <v>283</v>
      </c>
      <c r="G16" s="96" t="s">
        <v>121</v>
      </c>
      <c r="H16" s="96" t="s">
        <v>284</v>
      </c>
    </row>
    <row r="17" spans="1:8" x14ac:dyDescent="0.3">
      <c r="A17" t="s">
        <v>134</v>
      </c>
      <c r="B17" t="s">
        <v>133</v>
      </c>
      <c r="C17" t="s">
        <v>132</v>
      </c>
      <c r="F17" s="55" t="s">
        <v>285</v>
      </c>
      <c r="G17" s="56">
        <v>388100</v>
      </c>
      <c r="H17" s="56">
        <v>7658631</v>
      </c>
    </row>
    <row r="18" spans="1:8" x14ac:dyDescent="0.3">
      <c r="A18" t="s">
        <v>135</v>
      </c>
      <c r="B18" t="s">
        <v>136</v>
      </c>
      <c r="C18" t="s">
        <v>137</v>
      </c>
      <c r="F18" s="55" t="s">
        <v>286</v>
      </c>
      <c r="G18" s="56">
        <v>4672298.7499999963</v>
      </c>
      <c r="H18" s="56">
        <v>2919534.8699999996</v>
      </c>
    </row>
    <row r="19" spans="1:8" x14ac:dyDescent="0.3">
      <c r="A19" t="s">
        <v>138</v>
      </c>
      <c r="B19" t="s">
        <v>139</v>
      </c>
      <c r="C19" t="s">
        <v>140</v>
      </c>
    </row>
    <row r="20" spans="1:8" x14ac:dyDescent="0.3">
      <c r="F20" t="s">
        <v>315</v>
      </c>
      <c r="G20" s="18">
        <f>G17/G18</f>
        <v>8.3064037803661492E-2</v>
      </c>
      <c r="H20" s="8">
        <f>H17/H18</f>
        <v>2.6232366938641842</v>
      </c>
    </row>
    <row r="21" spans="1:8" ht="15.6" x14ac:dyDescent="0.3">
      <c r="A21" s="50"/>
      <c r="B21" s="45"/>
      <c r="C21" s="45"/>
      <c r="F21" t="s">
        <v>316</v>
      </c>
      <c r="G21">
        <v>0.96</v>
      </c>
      <c r="H21">
        <v>31.2</v>
      </c>
    </row>
    <row r="22" spans="1:8" x14ac:dyDescent="0.3">
      <c r="A22" s="49"/>
      <c r="B22" s="45"/>
      <c r="C22" s="45"/>
      <c r="F22" t="s">
        <v>317</v>
      </c>
      <c r="G22">
        <v>29.2</v>
      </c>
      <c r="H22">
        <v>949</v>
      </c>
    </row>
    <row r="23" spans="1:8" ht="15.6" x14ac:dyDescent="0.3">
      <c r="A23" s="73" t="s">
        <v>297</v>
      </c>
      <c r="B23" s="55"/>
      <c r="C23" s="55"/>
    </row>
    <row r="24" spans="1:8" x14ac:dyDescent="0.3">
      <c r="A24" s="55"/>
      <c r="B24" s="55"/>
      <c r="C24" s="55"/>
    </row>
    <row r="25" spans="1:8" x14ac:dyDescent="0.3">
      <c r="A25" s="96" t="s">
        <v>283</v>
      </c>
      <c r="B25" s="96" t="s">
        <v>121</v>
      </c>
      <c r="C25" s="96" t="s">
        <v>284</v>
      </c>
    </row>
    <row r="26" spans="1:8" x14ac:dyDescent="0.3">
      <c r="A26" s="55" t="s">
        <v>298</v>
      </c>
      <c r="B26" s="56">
        <v>388100</v>
      </c>
      <c r="C26" s="56">
        <v>7658631</v>
      </c>
    </row>
    <row r="27" spans="1:8" x14ac:dyDescent="0.3">
      <c r="A27" s="55" t="s">
        <v>118</v>
      </c>
      <c r="B27" s="56">
        <f>B7</f>
        <v>4672298.7499999963</v>
      </c>
      <c r="C27" s="56">
        <f>C7</f>
        <v>2919534.8699999996</v>
      </c>
    </row>
    <row r="28" spans="1:8" x14ac:dyDescent="0.3">
      <c r="A28" s="55" t="s">
        <v>288</v>
      </c>
      <c r="B28" s="55"/>
      <c r="C28" s="55"/>
    </row>
    <row r="29" spans="1:8" x14ac:dyDescent="0.3">
      <c r="A29" s="55" t="s">
        <v>299</v>
      </c>
      <c r="B29" s="74">
        <f>(B27/B26)*100</f>
        <v>1203.8904277248121</v>
      </c>
      <c r="C29" s="74">
        <f>(C27/C26)*100</f>
        <v>38.120845226777469</v>
      </c>
    </row>
    <row r="30" spans="1:8" x14ac:dyDescent="0.3">
      <c r="A30" s="55" t="s">
        <v>300</v>
      </c>
      <c r="B30" s="71">
        <f>B27/B26</f>
        <v>12.038904277248122</v>
      </c>
      <c r="C30" s="71">
        <f>C27/C26</f>
        <v>0.38120845226777472</v>
      </c>
    </row>
    <row r="31" spans="1:8" x14ac:dyDescent="0.3">
      <c r="A31" s="55" t="s">
        <v>288</v>
      </c>
      <c r="B31" s="55"/>
      <c r="C31" s="55"/>
    </row>
    <row r="32" spans="1:8" x14ac:dyDescent="0.3">
      <c r="A32" s="55" t="s">
        <v>301</v>
      </c>
      <c r="B32" s="78">
        <f>B27/300</f>
        <v>15574.329166666654</v>
      </c>
      <c r="C32" s="78">
        <f>C27/250</f>
        <v>11678.139479999998</v>
      </c>
    </row>
    <row r="33" spans="1:6" x14ac:dyDescent="0.3">
      <c r="A33" s="55" t="s">
        <v>302</v>
      </c>
      <c r="B33" s="71">
        <f>(B32/B26)*100</f>
        <v>4.0129680924160409</v>
      </c>
      <c r="C33" s="71">
        <f>(C32/C26)*100</f>
        <v>0.15248338090710986</v>
      </c>
    </row>
    <row r="37" spans="1:6" x14ac:dyDescent="0.3">
      <c r="A37" s="96" t="s">
        <v>303</v>
      </c>
      <c r="B37" s="96" t="s">
        <v>304</v>
      </c>
      <c r="C37" s="96" t="s">
        <v>305</v>
      </c>
      <c r="D37" s="96" t="s">
        <v>306</v>
      </c>
      <c r="E37" s="96" t="s">
        <v>307</v>
      </c>
    </row>
    <row r="38" spans="1:6" x14ac:dyDescent="0.3">
      <c r="A38" s="55">
        <v>1</v>
      </c>
      <c r="B38" s="56">
        <f>B27*1</f>
        <v>4672298.7499999963</v>
      </c>
      <c r="C38" s="75">
        <f>(B38/388100)*100</f>
        <v>1203.8904277248121</v>
      </c>
      <c r="D38" s="56">
        <f>C27*1</f>
        <v>2919534.8699999996</v>
      </c>
      <c r="E38" s="76">
        <f>(D38/7658631)*100</f>
        <v>38.120845226777469</v>
      </c>
    </row>
    <row r="39" spans="1:6" x14ac:dyDescent="0.3">
      <c r="A39" s="55">
        <v>2</v>
      </c>
      <c r="B39" s="56">
        <f>B27*2</f>
        <v>9344597.4999999925</v>
      </c>
      <c r="C39" s="75">
        <f>(B39/388100)*100</f>
        <v>2407.7808554496241</v>
      </c>
      <c r="D39" s="56">
        <f>C27*2</f>
        <v>5839069.7399999993</v>
      </c>
      <c r="E39" s="76">
        <f>(D39/7658631)*100</f>
        <v>76.241690453554938</v>
      </c>
    </row>
    <row r="40" spans="1:6" x14ac:dyDescent="0.3">
      <c r="A40" s="55">
        <v>3</v>
      </c>
      <c r="B40" s="56">
        <f>B27*3</f>
        <v>14016896.249999989</v>
      </c>
      <c r="C40" s="75">
        <f>(B40/388100)*100</f>
        <v>3611.6712831744367</v>
      </c>
      <c r="D40" s="56">
        <f>C27*3</f>
        <v>8758604.6099999994</v>
      </c>
      <c r="E40" s="76">
        <f>(D40/7658631)*100</f>
        <v>114.36253568033241</v>
      </c>
    </row>
    <row r="41" spans="1:6" x14ac:dyDescent="0.3">
      <c r="A41" s="55">
        <v>4</v>
      </c>
      <c r="B41" s="56">
        <f>B27*4</f>
        <v>18689194.999999985</v>
      </c>
      <c r="C41" s="75">
        <f>(B41/388100)*100</f>
        <v>4815.5617108992483</v>
      </c>
      <c r="D41" s="56">
        <f>C27*4</f>
        <v>11678139.479999999</v>
      </c>
      <c r="E41" s="76">
        <f>(D41/7658631)*100</f>
        <v>152.48338090710988</v>
      </c>
    </row>
    <row r="42" spans="1:6" x14ac:dyDescent="0.3">
      <c r="A42" s="55">
        <v>5</v>
      </c>
      <c r="B42" s="56">
        <f>B27*5</f>
        <v>23361493.749999981</v>
      </c>
      <c r="C42" s="75">
        <f>(B42/388100)*100</f>
        <v>6019.4521386240613</v>
      </c>
      <c r="D42" s="56">
        <f>C27*5</f>
        <v>14597674.349999998</v>
      </c>
      <c r="E42" s="76">
        <f>(D42/7658631)*100</f>
        <v>190.60422613388735</v>
      </c>
    </row>
    <row r="45" spans="1:6" x14ac:dyDescent="0.3">
      <c r="A45" s="79"/>
      <c r="B45" s="79"/>
      <c r="C45" s="79"/>
      <c r="D45" s="79"/>
      <c r="E45" s="59"/>
      <c r="F45" s="59"/>
    </row>
    <row r="46" spans="1:6" x14ac:dyDescent="0.3">
      <c r="A46" s="55"/>
      <c r="B46" s="68"/>
      <c r="C46" s="68"/>
      <c r="D46" s="55"/>
      <c r="E46" s="59"/>
      <c r="F46" s="59"/>
    </row>
    <row r="47" spans="1:6" x14ac:dyDescent="0.3">
      <c r="A47" s="55"/>
      <c r="B47" s="68"/>
      <c r="C47" s="68"/>
      <c r="D47" s="55"/>
      <c r="E47" s="59"/>
      <c r="F47" s="59"/>
    </row>
    <row r="48" spans="1:6" x14ac:dyDescent="0.3">
      <c r="A48" s="55"/>
      <c r="B48" s="68"/>
      <c r="C48" s="68"/>
      <c r="D48" s="55"/>
      <c r="E48" s="59"/>
      <c r="F48" s="59"/>
    </row>
    <row r="49" spans="1:6" x14ac:dyDescent="0.3">
      <c r="A49" s="55"/>
      <c r="B49" s="68"/>
      <c r="C49" s="68"/>
      <c r="D49" s="55"/>
      <c r="E49" s="59"/>
      <c r="F49" s="59"/>
    </row>
    <row r="50" spans="1:6" x14ac:dyDescent="0.3">
      <c r="A50" s="55"/>
      <c r="B50" s="68"/>
      <c r="C50" s="68"/>
      <c r="D50" s="55"/>
      <c r="E50" s="59"/>
      <c r="F50" s="59"/>
    </row>
    <row r="51" spans="1:6" x14ac:dyDescent="0.3">
      <c r="A51" s="55"/>
      <c r="B51" s="55"/>
      <c r="C51" s="55"/>
      <c r="D51" s="55"/>
      <c r="E51" s="59"/>
      <c r="F51" s="59"/>
    </row>
    <row r="52" spans="1:6" x14ac:dyDescent="0.3">
      <c r="A52" s="55"/>
      <c r="B52" s="77"/>
      <c r="C52" s="77"/>
      <c r="D52" s="55"/>
      <c r="E52" s="59"/>
      <c r="F52" s="59"/>
    </row>
    <row r="53" spans="1:6" x14ac:dyDescent="0.3">
      <c r="A53" s="55"/>
      <c r="B53" s="77"/>
      <c r="C53" s="77"/>
      <c r="D53" s="55"/>
      <c r="E53" s="59"/>
      <c r="F53" s="59"/>
    </row>
    <row r="54" spans="1:6" x14ac:dyDescent="0.3">
      <c r="A54" s="55"/>
      <c r="B54" s="68"/>
      <c r="C54" s="68"/>
      <c r="D54" s="55"/>
      <c r="E54" s="59"/>
      <c r="F54" s="59"/>
    </row>
    <row r="55" spans="1:6" x14ac:dyDescent="0.3">
      <c r="A55" s="55"/>
      <c r="B55" s="68"/>
      <c r="C55" s="68"/>
      <c r="D55" s="55"/>
      <c r="E55" s="59"/>
      <c r="F55" s="59"/>
    </row>
    <row r="56" spans="1:6" x14ac:dyDescent="0.3">
      <c r="A56" s="59"/>
      <c r="B56" s="59"/>
      <c r="C56" s="59"/>
      <c r="D56" s="59"/>
      <c r="E56" s="59"/>
      <c r="F56" s="59"/>
    </row>
    <row r="57" spans="1:6" x14ac:dyDescent="0.3">
      <c r="A57" s="59"/>
      <c r="B57" s="59"/>
      <c r="C57" s="59"/>
      <c r="D57" s="59"/>
      <c r="E57" s="59"/>
      <c r="F57" s="59"/>
    </row>
    <row r="58" spans="1:6" x14ac:dyDescent="0.3">
      <c r="A58" s="59"/>
      <c r="B58" s="59"/>
      <c r="C58" s="59"/>
      <c r="D58" s="59"/>
      <c r="E58" s="59"/>
      <c r="F58" s="59"/>
    </row>
    <row r="59" spans="1:6" ht="15.6" x14ac:dyDescent="0.3">
      <c r="A59" s="73"/>
      <c r="B59" s="55"/>
      <c r="C59" s="59"/>
      <c r="D59" s="59"/>
      <c r="E59" s="59"/>
      <c r="F59" s="59"/>
    </row>
    <row r="60" spans="1:6" x14ac:dyDescent="0.3">
      <c r="A60" s="55"/>
      <c r="B60" s="55"/>
      <c r="C60" s="59"/>
      <c r="D60" s="59"/>
      <c r="E60" s="59"/>
      <c r="F60" s="59"/>
    </row>
    <row r="61" spans="1:6" x14ac:dyDescent="0.3">
      <c r="A61" s="67"/>
      <c r="B61" s="80"/>
      <c r="C61" s="59"/>
      <c r="D61" s="59"/>
      <c r="E61" s="59"/>
      <c r="F61" s="59"/>
    </row>
    <row r="62" spans="1:6" x14ac:dyDescent="0.3">
      <c r="A62" s="55"/>
      <c r="B62" s="55"/>
      <c r="C62" s="59"/>
      <c r="D62" s="59"/>
      <c r="E62" s="59"/>
      <c r="F62" s="59"/>
    </row>
    <row r="63" spans="1:6" x14ac:dyDescent="0.3">
      <c r="A63" s="55"/>
      <c r="B63" s="55"/>
      <c r="C63" s="59"/>
      <c r="D63" s="59"/>
      <c r="E63" s="59"/>
      <c r="F63" s="59"/>
    </row>
    <row r="64" spans="1:6" x14ac:dyDescent="0.3">
      <c r="A64" s="55"/>
      <c r="B64" s="55"/>
      <c r="C64" s="59"/>
      <c r="D64" s="59"/>
      <c r="E64" s="59"/>
      <c r="F64" s="59"/>
    </row>
    <row r="65" spans="1:6" x14ac:dyDescent="0.3">
      <c r="A65" s="55"/>
      <c r="B65" s="55"/>
      <c r="C65" s="59"/>
      <c r="D65" s="59"/>
      <c r="E65" s="59"/>
      <c r="F65" s="59"/>
    </row>
    <row r="66" spans="1:6" x14ac:dyDescent="0.3">
      <c r="A66" s="55"/>
      <c r="B66" s="55"/>
      <c r="C66" s="59"/>
      <c r="D66" s="59"/>
      <c r="E66" s="59"/>
      <c r="F66" s="59"/>
    </row>
    <row r="67" spans="1:6" x14ac:dyDescent="0.3">
      <c r="A67" s="55"/>
      <c r="B67" s="55"/>
      <c r="C67" s="59"/>
      <c r="D67" s="59"/>
      <c r="E67" s="59"/>
      <c r="F67" s="59"/>
    </row>
    <row r="68" spans="1:6" x14ac:dyDescent="0.3">
      <c r="A68" s="67"/>
      <c r="B68" s="55"/>
      <c r="C68" s="59"/>
      <c r="D68" s="59"/>
      <c r="E68" s="59"/>
      <c r="F68" s="59"/>
    </row>
    <row r="69" spans="1:6" x14ac:dyDescent="0.3">
      <c r="A69" s="55"/>
      <c r="B69" s="55"/>
      <c r="C69" s="59"/>
      <c r="D69" s="59"/>
      <c r="E69" s="59"/>
      <c r="F69" s="59"/>
    </row>
    <row r="70" spans="1:6" x14ac:dyDescent="0.3">
      <c r="A70" s="55"/>
      <c r="B70" s="55"/>
      <c r="C70" s="59"/>
      <c r="D70" s="59"/>
      <c r="E70" s="59"/>
      <c r="F70" s="59"/>
    </row>
    <row r="71" spans="1:6" x14ac:dyDescent="0.3">
      <c r="A71" s="55"/>
      <c r="B71" s="55"/>
      <c r="C71" s="59"/>
      <c r="D71" s="59"/>
      <c r="E71" s="59"/>
      <c r="F71" s="59"/>
    </row>
    <row r="72" spans="1:6" x14ac:dyDescent="0.3">
      <c r="A72" s="55"/>
      <c r="B72" s="55"/>
      <c r="C72" s="59"/>
      <c r="D72" s="59"/>
      <c r="E72" s="59"/>
      <c r="F72" s="59"/>
    </row>
    <row r="73" spans="1:6" x14ac:dyDescent="0.3">
      <c r="A73" s="55"/>
      <c r="B73" s="55"/>
      <c r="C73" s="59"/>
      <c r="D73" s="59"/>
      <c r="E73" s="59"/>
      <c r="F73" s="59"/>
    </row>
    <row r="74" spans="1:6" x14ac:dyDescent="0.3">
      <c r="A74" s="55"/>
      <c r="B74" s="55"/>
      <c r="C74" s="59"/>
      <c r="D74" s="59"/>
      <c r="E74" s="59"/>
      <c r="F74" s="59"/>
    </row>
    <row r="75" spans="1:6" x14ac:dyDescent="0.3">
      <c r="A75" s="67"/>
      <c r="B75" s="67"/>
      <c r="C75" s="59"/>
      <c r="D75" s="59"/>
      <c r="E75" s="59"/>
      <c r="F75" s="59"/>
    </row>
    <row r="76" spans="1:6" x14ac:dyDescent="0.3">
      <c r="A76" s="67"/>
      <c r="B76" s="67"/>
      <c r="C76" s="59"/>
      <c r="D76" s="59"/>
      <c r="E76" s="59"/>
      <c r="F76" s="59"/>
    </row>
    <row r="77" spans="1:6" x14ac:dyDescent="0.3">
      <c r="A77" s="59"/>
      <c r="B77" s="59"/>
      <c r="C77" s="59"/>
      <c r="D77" s="59"/>
      <c r="E77" s="59"/>
      <c r="F77" s="59"/>
    </row>
  </sheetData>
  <mergeCells count="6">
    <mergeCell ref="A1:C1"/>
    <mergeCell ref="A4:C4"/>
    <mergeCell ref="A14:C14"/>
    <mergeCell ref="A22:C22"/>
    <mergeCell ref="A21:C21"/>
    <mergeCell ref="A9:C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6.1 Assumptions</vt:lpstr>
      <vt:lpstr>6.2 Line Balancing</vt:lpstr>
      <vt:lpstr>6.3 Cost Manual Assembly</vt:lpstr>
      <vt:lpstr>6.4 Cost Automation</vt:lpstr>
      <vt:lpstr>6.5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Guruh Sukmo</cp:lastModifiedBy>
  <dcterms:created xsi:type="dcterms:W3CDTF">2026-05-13T10:11:38Z</dcterms:created>
  <dcterms:modified xsi:type="dcterms:W3CDTF">2026-05-13T19:58:03Z</dcterms:modified>
</cp:coreProperties>
</file>